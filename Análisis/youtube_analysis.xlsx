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ria\OneDrive - INTEC\Documentos\Study\youtube_analytics_storytelling\"/>
    </mc:Choice>
  </mc:AlternateContent>
  <xr:revisionPtr revIDLastSave="0" documentId="13_ncr:1_{E91DABA3-4386-40DA-B057-B11A3177FD0E}" xr6:coauthVersionLast="47" xr6:coauthVersionMax="47" xr10:uidLastSave="{00000000-0000-0000-0000-000000000000}"/>
  <bookViews>
    <workbookView xWindow="-103" yWindow="-103" windowWidth="22149" windowHeight="13200" xr2:uid="{FF5D0B71-403E-479D-9584-49E0F47C4C8E}"/>
  </bookViews>
  <sheets>
    <sheet name="EXP" sheetId="5" r:id="rId1"/>
    <sheet name="Gráficos y gráficas" sheetId="2" r:id="rId2"/>
    <sheet name="YouTube_Channel_DataSet" sheetId="1" r:id="rId3"/>
    <sheet name="Data_RawYouTu_be_Channel" sheetId="3" r:id="rId4"/>
  </sheets>
  <definedNames>
    <definedName name="_xlnm._FilterDatabase" localSheetId="3" hidden="1">Data_RawYouTu_be_Channel!$A$1:$L$27</definedName>
    <definedName name="_xlnm._FilterDatabase" localSheetId="2" hidden="1">YouTube_Channel_DataSet!$A$1:$M$21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</calcChain>
</file>

<file path=xl/sharedStrings.xml><?xml version="1.0" encoding="utf-8"?>
<sst xmlns="http://schemas.openxmlformats.org/spreadsheetml/2006/main" count="321" uniqueCount="106">
  <si>
    <t>Genre</t>
  </si>
  <si>
    <t>Video title</t>
  </si>
  <si>
    <t>Video publish time</t>
  </si>
  <si>
    <t>Views</t>
  </si>
  <si>
    <t>QTY Usuarios</t>
  </si>
  <si>
    <t>Watch Total time (hours)</t>
  </si>
  <si>
    <t>Subscribers</t>
  </si>
  <si>
    <t>Average view duration</t>
  </si>
  <si>
    <t>Impressions</t>
  </si>
  <si>
    <t>Impressions click-through rate (%)</t>
  </si>
  <si>
    <t>Pais</t>
  </si>
  <si>
    <t>Ingresos</t>
  </si>
  <si>
    <t>film</t>
  </si>
  <si>
    <t>To BE or Not To BE | Short film | no dialogue, single character film | VamshiVk</t>
  </si>
  <si>
    <t>Brasil</t>
  </si>
  <si>
    <t>comedy</t>
  </si>
  <si>
    <t>GUESS THE CHIP Challenge | vamshivk</t>
  </si>
  <si>
    <t>travel</t>
  </si>
  <si>
    <t>How many of you had this childhood ?  | after 17 years going to my pre KG school | vloGO Vk</t>
  </si>
  <si>
    <t>bike service</t>
  </si>
  <si>
    <t>CLARIFICATION on DIO Mileage test videos | DIO BS6 MILEAGE TEST | vloGO Vk | VAMSHI VK</t>
  </si>
  <si>
    <t>MEDAK CHURCH ki velthey... | Telugu MotoVlogs | vloGO Vk | VamshiVk</t>
  </si>
  <si>
    <t>EU</t>
  </si>
  <si>
    <t>Tirumala Trip in Sequence  | DAY 1 | Telugu vlog  | Train Journey  |  VamshiVk</t>
  </si>
  <si>
    <t>Japon</t>
  </si>
  <si>
    <t>Tirumala Trip in Sequence | DAY 2 | Tiruchaanoor - Kapila theertham  Telugu vlog |  vloGO Vk</t>
  </si>
  <si>
    <t>Tirumala Trip in Sequence | DAY 3 | ALIPIRI METTU TREK |  Telugu vlog |  vloGO Vk | Vamshi Vk</t>
  </si>
  <si>
    <t>Tirumala Trip in Sequence | DAY 4 | BRAHMOSTAVALU | sight seeing places Telugu vlog |  vloGO Vk</t>
  </si>
  <si>
    <t>Tirupati to Srikalahasti | DAY 5&amp;6 | Tirumala Darshanam Correct Sequence | Telugu vlog |  vloGO Vk</t>
  </si>
  <si>
    <t>USA</t>
  </si>
  <si>
    <t>Come lets go to a 2200 year old ancient temple | Gudimallam | Telugu vlog | vloGO Vk | VamshiVk</t>
  </si>
  <si>
    <t>MAHULI FORT | an adventurous trek experience  | vloGO vk | vamshi vk</t>
  </si>
  <si>
    <t>Nirvana | Episode - 2 | New Telugu Series 2023  | Vamshi Vk</t>
  </si>
  <si>
    <t>Nirvana | Episode - 3 | New Telugu Series 2023 |Vamshi Vk</t>
  </si>
  <si>
    <t>Nirvana | New Telugu Short film 2023 | Vamshi Vk</t>
  </si>
  <si>
    <t>SUNRISE at koheda gutta | The hidden gem of hyderabad | Telugu Motovlog | Vamshivk</t>
  </si>
  <si>
    <t>In search of waterfalls | Palakonda Adventurous trek | part II | KADAPA | vamshivk</t>
  </si>
  <si>
    <t>Nirvana | New Telugu Series 2023 | TRAILER | Vamshi Vk</t>
  </si>
  <si>
    <t>Dakshin Express General coach experience  | Secunderabad to Nagpur</t>
  </si>
  <si>
    <t>Ala  NALLAMALA  Adavullo | Nallamala forest telugu vlog | vloGO Vk  | vamshiVk</t>
  </si>
  <si>
    <t>Nirvana | Episode - 1 | New Telugu Series 2023 | with English Subtitles | Vamshi Vk</t>
  </si>
  <si>
    <t>An ADVENTUROUS TREK to PALAKONDALU | waterfalls | kadapa | vamshivk</t>
  </si>
  <si>
    <t>Tirumala Trip in Sequence | DAY 2 | Tiruchaanoor - Kapila theertham  Telugu vlog |  vloGO Vk23</t>
  </si>
  <si>
    <t>Tirumala Trip in Sequence | DAY 3 | ALIPIRI METTU TREK |  Telugu vlog |  vloGO Vk | Vamshi Vk34</t>
  </si>
  <si>
    <t>19-ene-23</t>
  </si>
  <si>
    <t>Suma de Views</t>
  </si>
  <si>
    <t>Etiquetas de fila</t>
  </si>
  <si>
    <t>Total general</t>
  </si>
  <si>
    <t>Suma de Impressions click-through rate (%)</t>
  </si>
  <si>
    <t>19/7/2022</t>
  </si>
  <si>
    <t>1/10/2022</t>
  </si>
  <si>
    <t>9/10/2022</t>
  </si>
  <si>
    <t>16/10/2022</t>
  </si>
  <si>
    <t>25/10/2022</t>
  </si>
  <si>
    <t>1/11/2022</t>
  </si>
  <si>
    <t>8/11/2022</t>
  </si>
  <si>
    <t>15/11/2022</t>
  </si>
  <si>
    <t>23/11/2022</t>
  </si>
  <si>
    <t>7/5/2023</t>
  </si>
  <si>
    <t>15/5/2023</t>
  </si>
  <si>
    <t>21/5/2023</t>
  </si>
  <si>
    <t>11/4/2022</t>
  </si>
  <si>
    <t>20/4/2023</t>
  </si>
  <si>
    <t>25/8/2022</t>
  </si>
  <si>
    <t>27/8/2022</t>
  </si>
  <si>
    <t>30/4/2023</t>
  </si>
  <si>
    <t>19/10/2022</t>
  </si>
  <si>
    <t>19/1/2023</t>
  </si>
  <si>
    <t>Suma de Views2</t>
  </si>
  <si>
    <t>Vistas promedio por usuario</t>
  </si>
  <si>
    <t>Tiempo promedio por usuario (horas)</t>
  </si>
  <si>
    <t>Promedio de Vistas promedio por usuario</t>
  </si>
  <si>
    <t>Promedio de Tiempo promedio por usuario (horas)</t>
  </si>
  <si>
    <t>(1)</t>
  </si>
  <si>
    <t>Con la información del dataset suministrado, se pide responder a la siguientes preguntas:</t>
  </si>
  <si>
    <t>1.      ¿En cuáles países se encuentra el 20% de las visualizaciones? (acumular por país hasta alcanzar el 20%).</t>
  </si>
  <si>
    <t>2.      Vistas promedio por usuario y tiempo promedio por usuario (horas). ¿Hay un país donde se vean más videos por usuario?</t>
  </si>
  <si>
    <t>3.      Por país, géneros con mayor CTR (clicks/impresiones).</t>
  </si>
  <si>
    <t>4.      Estimar el crecimiento futuro de impresiones basado en fecha de publicación.</t>
  </si>
  <si>
    <t>(0)</t>
  </si>
  <si>
    <t>Podemos detectar las siguientes anomalías, en temas de calidad de data:</t>
  </si>
  <si>
    <r>
      <t xml:space="preserve">1.1) Filas con </t>
    </r>
    <r>
      <rPr>
        <b/>
        <sz val="12"/>
        <color theme="1"/>
        <rFont val="Segoe UI Semilight"/>
        <family val="2"/>
      </rPr>
      <t>valores faltantes</t>
    </r>
    <r>
      <rPr>
        <sz val="12"/>
        <color theme="1"/>
        <rFont val="Segoe UI Semilight"/>
        <family val="2"/>
      </rPr>
      <t>: sin Views, QTY Usuarios, Impressions, CTR.</t>
    </r>
  </si>
  <si>
    <r>
      <t xml:space="preserve">1.2) Filas </t>
    </r>
    <r>
      <rPr>
        <b/>
        <sz val="12"/>
        <color theme="1"/>
        <rFont val="Segoe UI Semilight"/>
        <family val="2"/>
      </rPr>
      <t>Duplicadas</t>
    </r>
    <r>
      <rPr>
        <sz val="12"/>
        <color theme="1"/>
        <rFont val="Segoe UI Semilight"/>
        <family val="2"/>
      </rPr>
      <t>:  video "Tirumala Trip in Sequence | DAY 2 ... " repetido con mismos valores.</t>
    </r>
  </si>
  <si>
    <t>1.3) al limpiar y estandarizar la tabla con la información, nos quedaría así:</t>
  </si>
  <si>
    <t>5.      Recomendaciones a directivo de Mercadeo para aumentar ingresos e impresiones.</t>
  </si>
  <si>
    <t>(3)</t>
  </si>
  <si>
    <t>Visualizaciones por país</t>
  </si>
  <si>
    <t># Views</t>
  </si>
  <si>
    <t>(%) Views</t>
  </si>
  <si>
    <t>Vistas promedio y tiempo promedio por país</t>
  </si>
  <si>
    <t>1.4) Vistas promedio por usuario = Views / QTY Usuarios</t>
  </si>
  <si>
    <t>1.4) Tiempo promedio por usuario (horas) = Watch Total Time / QTY Usuarios</t>
  </si>
  <si>
    <t>Géneros con mayor CTR (clicks/impresiones) por país</t>
  </si>
  <si>
    <t>impresiones</t>
  </si>
  <si>
    <t>Fecha</t>
  </si>
  <si>
    <t>Pasamos a analizar  la información, ver hoja : Gráficos y gráficas</t>
  </si>
  <si>
    <t>Suma de Impressions</t>
  </si>
  <si>
    <t>Columna1</t>
  </si>
  <si>
    <t>8-2022</t>
  </si>
  <si>
    <t>11-2022</t>
  </si>
  <si>
    <t>10-2022</t>
  </si>
  <si>
    <t>4-2023</t>
  </si>
  <si>
    <t>5-2023</t>
  </si>
  <si>
    <t>4-2022</t>
  </si>
  <si>
    <t>1-2023</t>
  </si>
  <si>
    <t>7-2022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</si>
</sst>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7" formatCode="mm/yyyy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Segoe UI Semilight"/>
      <family val="2"/>
    </font>
    <font>
      <b/>
      <sz val="12"/>
      <color theme="1"/>
      <name val="Segoe UI Semilight"/>
      <family val="2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5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43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9" fontId="0" fillId="0" borderId="0" xfId="0" applyNumberFormat="1" applyAlignment="1">
      <alignment horizontal="left"/>
    </xf>
    <xf numFmtId="165" fontId="0" fillId="0" borderId="0" xfId="0" applyNumberFormat="1"/>
    <xf numFmtId="9" fontId="0" fillId="0" borderId="0" xfId="2" applyFont="1"/>
    <xf numFmtId="43" fontId="2" fillId="0" borderId="0" xfId="1" applyFont="1"/>
    <xf numFmtId="43" fontId="0" fillId="0" borderId="0" xfId="1" applyFont="1"/>
    <xf numFmtId="43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2"/>
    </xf>
    <xf numFmtId="0" fontId="5" fillId="0" borderId="0" xfId="0" quotePrefix="1" applyFont="1" applyAlignment="1">
      <alignment horizontal="center"/>
    </xf>
    <xf numFmtId="0" fontId="5" fillId="0" borderId="0" xfId="0" applyFont="1"/>
    <xf numFmtId="0" fontId="0" fillId="0" borderId="1" xfId="0" applyBorder="1"/>
    <xf numFmtId="9" fontId="0" fillId="0" borderId="1" xfId="2" applyFont="1" applyBorder="1"/>
    <xf numFmtId="0" fontId="0" fillId="3" borderId="1" xfId="0" applyFill="1" applyBorder="1"/>
    <xf numFmtId="9" fontId="0" fillId="3" borderId="1" xfId="2" applyFont="1" applyFill="1" applyBorder="1"/>
    <xf numFmtId="0" fontId="6" fillId="0" borderId="1" xfId="0" applyFont="1" applyBorder="1"/>
    <xf numFmtId="0" fontId="2" fillId="2" borderId="1" xfId="0" applyFont="1" applyFill="1" applyBorder="1" applyAlignment="1">
      <alignment horizontal="center" vertical="top" wrapText="1"/>
    </xf>
    <xf numFmtId="43" fontId="0" fillId="0" borderId="1" xfId="1" applyFont="1" applyBorder="1"/>
    <xf numFmtId="43" fontId="0" fillId="0" borderId="1" xfId="1" applyFont="1" applyFill="1" applyBorder="1"/>
    <xf numFmtId="43" fontId="6" fillId="0" borderId="1" xfId="1" applyFont="1" applyBorder="1"/>
    <xf numFmtId="0" fontId="2" fillId="2" borderId="1" xfId="0" applyFont="1" applyFill="1" applyBorder="1" applyAlignment="1">
      <alignment horizontal="center"/>
    </xf>
    <xf numFmtId="43" fontId="0" fillId="3" borderId="1" xfId="1" applyFont="1" applyFill="1" applyBorder="1"/>
    <xf numFmtId="0" fontId="2" fillId="0" borderId="1" xfId="0" applyFont="1" applyBorder="1" applyAlignment="1">
      <alignment horizontal="left"/>
    </xf>
    <xf numFmtId="43" fontId="2" fillId="0" borderId="1" xfId="0" applyNumberFormat="1" applyFont="1" applyBorder="1"/>
    <xf numFmtId="0" fontId="0" fillId="3" borderId="1" xfId="0" applyFill="1" applyBorder="1" applyAlignment="1">
      <alignment horizontal="left" indent="1"/>
    </xf>
    <xf numFmtId="43" fontId="0" fillId="3" borderId="1" xfId="0" applyNumberFormat="1" applyFill="1" applyBorder="1"/>
    <xf numFmtId="0" fontId="0" fillId="0" borderId="1" xfId="0" applyBorder="1" applyAlignment="1">
      <alignment horizontal="left" indent="1"/>
    </xf>
    <xf numFmtId="43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167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13">
    <dxf>
      <numFmt numFmtId="167" formatCode="mm/yyyy;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</dxf>
    <dxf>
      <numFmt numFmtId="26" formatCode="h:mm:ss"/>
    </dxf>
    <dxf>
      <numFmt numFmtId="164" formatCode="dd/mm/yyyy;@"/>
    </dxf>
    <dxf>
      <font>
        <b/>
      </font>
    </dxf>
    <dxf>
      <numFmt numFmtId="35" formatCode="_(* #,##0.00_);_(* \(#,##0.00\);_(* &quot;-&quot;??_);_(@_)"/>
    </dxf>
    <dxf>
      <font>
        <b/>
      </font>
    </dxf>
    <dxf>
      <numFmt numFmtId="165" formatCode="_(* #,##0_);_(* \(#,##0\);_(* &quot;-&quot;??_);_(@_)"/>
    </dxf>
    <dxf>
      <numFmt numFmtId="13" formatCode="0%"/>
    </dxf>
    <dxf>
      <numFmt numFmtId="13" formatCode="0%"/>
    </dxf>
    <dxf>
      <numFmt numFmtId="13" formatCode="0%"/>
    </dxf>
  </dxfs>
  <tableStyles count="1" defaultTableStyle="TableStyleMedium2" defaultPivotStyle="PivotStyleLight16">
    <tableStyle name="Estilo de tabla 1" pivot="0" count="0" xr9:uid="{DA6278E4-0376-4368-A469-9B0FA83C67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'Gráficos y gráficas'!$D$5</c:f>
              <c:strCache>
                <c:ptCount val="1"/>
                <c:pt idx="0">
                  <c:v>(%) Views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67-4CB4-896F-7A55B687F424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67-4CB4-896F-7A55B687F424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67-4CB4-896F-7A55B687F424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67-4CB4-896F-7A55B687F4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'Gráficos y gráficas'!$B$6:$B$9</c:f>
              <c:strCache>
                <c:ptCount val="4"/>
                <c:pt idx="0">
                  <c:v>EU</c:v>
                </c:pt>
                <c:pt idx="1">
                  <c:v>USA</c:v>
                </c:pt>
                <c:pt idx="2">
                  <c:v>Japon</c:v>
                </c:pt>
                <c:pt idx="3">
                  <c:v>Brasil</c:v>
                </c:pt>
              </c:strCache>
            </c:strRef>
          </c:cat>
          <c:val>
            <c:numRef>
              <c:f>'Gráficos y gráficas'!$D$6:$D$9</c:f>
              <c:numCache>
                <c:formatCode>0%</c:formatCode>
                <c:ptCount val="4"/>
                <c:pt idx="0">
                  <c:v>0.10996119016817593</c:v>
                </c:pt>
                <c:pt idx="1">
                  <c:v>0.39197930142302717</c:v>
                </c:pt>
                <c:pt idx="2">
                  <c:v>0.20310478654592498</c:v>
                </c:pt>
                <c:pt idx="3">
                  <c:v>0.29495472186287192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5B6-4DC1-9B28-0F582799AA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'Gráficos y gráficas'!$C$39</c:f>
              <c:strCache>
                <c:ptCount val="1"/>
                <c:pt idx="0">
                  <c:v>impresiones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209755030621168E-2"/>
                  <c:y val="-0.35691200058326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DO"/>
                </a:p>
              </c:txPr>
            </c:trendlineLbl>
          </c:trendline>
          <c:xVal>
            <c:strRef>
              <c:f>'Gráficos y gráficas'!$B$40:$B$58</c:f>
              <c:strCache>
                <c:ptCount val="19"/>
                <c:pt idx="0">
                  <c:v>1/10/2022</c:v>
                </c:pt>
                <c:pt idx="1">
                  <c:v>1/11/2022</c:v>
                </c:pt>
                <c:pt idx="2">
                  <c:v>11/4/2022</c:v>
                </c:pt>
                <c:pt idx="3">
                  <c:v>15/11/2022</c:v>
                </c:pt>
                <c:pt idx="4">
                  <c:v>15/5/2023</c:v>
                </c:pt>
                <c:pt idx="5">
                  <c:v>16/10/2022</c:v>
                </c:pt>
                <c:pt idx="6">
                  <c:v>19/1/2023</c:v>
                </c:pt>
                <c:pt idx="7">
                  <c:v>19/10/2022</c:v>
                </c:pt>
                <c:pt idx="8">
                  <c:v>19/7/2022</c:v>
                </c:pt>
                <c:pt idx="9">
                  <c:v>20/4/2023</c:v>
                </c:pt>
                <c:pt idx="10">
                  <c:v>21/5/2023</c:v>
                </c:pt>
                <c:pt idx="11">
                  <c:v>23/11/2022</c:v>
                </c:pt>
                <c:pt idx="12">
                  <c:v>25/10/2022</c:v>
                </c:pt>
                <c:pt idx="13">
                  <c:v>25/8/2022</c:v>
                </c:pt>
                <c:pt idx="14">
                  <c:v>27/8/2022</c:v>
                </c:pt>
                <c:pt idx="15">
                  <c:v>30/4/2023</c:v>
                </c:pt>
                <c:pt idx="16">
                  <c:v>7/5/2023</c:v>
                </c:pt>
                <c:pt idx="17">
                  <c:v>8/11/2022</c:v>
                </c:pt>
                <c:pt idx="18">
                  <c:v>9/10/2022</c:v>
                </c:pt>
              </c:strCache>
            </c:strRef>
          </c:xVal>
          <c:yVal>
            <c:numRef>
              <c:f>'Gráficos y gráficas'!$C$40:$C$58</c:f>
              <c:numCache>
                <c:formatCode>_(* #,##0_);_(* \(#,##0\);_(* "-"??_);_(@_)</c:formatCode>
                <c:ptCount val="19"/>
                <c:pt idx="0">
                  <c:v>66</c:v>
                </c:pt>
                <c:pt idx="1">
                  <c:v>247</c:v>
                </c:pt>
                <c:pt idx="2">
                  <c:v>153</c:v>
                </c:pt>
                <c:pt idx="3">
                  <c:v>65</c:v>
                </c:pt>
                <c:pt idx="4">
                  <c:v>196</c:v>
                </c:pt>
                <c:pt idx="5">
                  <c:v>1013</c:v>
                </c:pt>
                <c:pt idx="6">
                  <c:v>247</c:v>
                </c:pt>
                <c:pt idx="7">
                  <c:v>1013</c:v>
                </c:pt>
                <c:pt idx="8">
                  <c:v>54</c:v>
                </c:pt>
                <c:pt idx="9">
                  <c:v>130</c:v>
                </c:pt>
                <c:pt idx="10">
                  <c:v>166</c:v>
                </c:pt>
                <c:pt idx="11">
                  <c:v>64</c:v>
                </c:pt>
                <c:pt idx="12">
                  <c:v>1330</c:v>
                </c:pt>
                <c:pt idx="13">
                  <c:v>274</c:v>
                </c:pt>
                <c:pt idx="14">
                  <c:v>36</c:v>
                </c:pt>
                <c:pt idx="15">
                  <c:v>306</c:v>
                </c:pt>
                <c:pt idx="16">
                  <c:v>143</c:v>
                </c:pt>
                <c:pt idx="17">
                  <c:v>1740</c:v>
                </c:pt>
                <c:pt idx="18">
                  <c:v>1106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78-4AAA-A638-2DA4A9E2B6F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38497295"/>
        <c:axId val="738494415"/>
      </c:scatterChart>
      <c:valAx>
        <c:axId val="7384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738494415"/>
        <c:crosses val="autoZero"/>
        <c:crossBetween val="midCat"/>
      </c:valAx>
      <c:valAx>
        <c:axId val="7384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73849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108856</xdr:colOff>
      <xdr:row>12</xdr:row>
      <xdr:rowOff>81467</xdr:rowOff>
    </xdr:from>
    <xdr:to>
      <xdr:col>30</xdr:col>
      <xdr:colOff>153673</xdr:colOff>
      <xdr:row>61</xdr:row>
      <xdr:rowOff>36258</xdr:rowOff>
    </xdr:to>
    <xdr:grpSp>
      <xdr:nvGrpSpPr>
        <xdr:cNvPr id="43" name="Grupo 42">
          <a:extLst>
            <a:ext uri="{FF2B5EF4-FFF2-40B4-BE49-F238E27FC236}">
              <a16:creationId xmlns:a16="http://schemas.microsoft.com/office/drawing/2014/main" id="{5832BA8E-ABE6-6A46-2724-01841910A6A0}"/>
            </a:ext>
          </a:extLst>
        </xdr:cNvPr>
        <xdr:cNvGrpSpPr/>
      </xdr:nvGrpSpPr>
      <xdr:grpSpPr>
        <a:xfrm>
          <a:off x="1771401" y="2812792"/>
          <a:ext cx="23320454" cy="11107701"/>
          <a:chOff x="1714501" y="3065318"/>
          <a:chExt cx="23285817" cy="11289541"/>
        </a:xfrm>
      </xdr:grpSpPr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A49E0038-853C-2195-A987-4BDB43E120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14501" y="3065318"/>
            <a:ext cx="23285817" cy="11289541"/>
          </a:xfrm>
          <a:prstGeom prst="rect">
            <a:avLst/>
          </a:prstGeom>
        </xdr:spPr>
      </xdr:pic>
      <xdr:sp macro="" textlink="">
        <xdr:nvSpPr>
          <xdr:cNvPr id="12" name="Rectángulo 11">
            <a:extLst>
              <a:ext uri="{FF2B5EF4-FFF2-40B4-BE49-F238E27FC236}">
                <a16:creationId xmlns:a16="http://schemas.microsoft.com/office/drawing/2014/main" id="{4BB039B0-39D6-4BD8-ACF0-E4DE197F3F3A}"/>
              </a:ext>
            </a:extLst>
          </xdr:cNvPr>
          <xdr:cNvSpPr/>
        </xdr:nvSpPr>
        <xdr:spPr>
          <a:xfrm>
            <a:off x="1979821" y="4636054"/>
            <a:ext cx="21905500" cy="1240288"/>
          </a:xfrm>
          <a:prstGeom prst="rect">
            <a:avLst/>
          </a:prstGeom>
          <a:noFill/>
          <a:ln w="28575">
            <a:solidFill>
              <a:schemeClr val="accent2">
                <a:lumMod val="75000"/>
              </a:schemeClr>
            </a:solidFill>
            <a:prstDash val="lg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DO" sz="1100"/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89A48F89-5018-4D04-96B6-F59C063A3AF7}"/>
              </a:ext>
            </a:extLst>
          </xdr:cNvPr>
          <xdr:cNvSpPr txBox="1"/>
        </xdr:nvSpPr>
        <xdr:spPr>
          <a:xfrm>
            <a:off x="24035086" y="4601410"/>
            <a:ext cx="731485" cy="472241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DO" sz="2000" b="1"/>
              <a:t>1.1</a:t>
            </a: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C0921C55-9B64-44BC-96B4-BB95AB927AB8}"/>
              </a:ext>
            </a:extLst>
          </xdr:cNvPr>
          <xdr:cNvSpPr txBox="1"/>
        </xdr:nvSpPr>
        <xdr:spPr>
          <a:xfrm>
            <a:off x="24000939" y="9545523"/>
            <a:ext cx="730255" cy="472244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DO" sz="2000" b="1"/>
              <a:t>1.2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E63CFAEB-AD82-4EAB-A599-DA3FEEDBBBED}"/>
              </a:ext>
            </a:extLst>
          </xdr:cNvPr>
          <xdr:cNvSpPr txBox="1"/>
        </xdr:nvSpPr>
        <xdr:spPr>
          <a:xfrm>
            <a:off x="23983493" y="8851388"/>
            <a:ext cx="731485" cy="472244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DO" sz="2000" b="1"/>
              <a:t>1.1</a:t>
            </a:r>
          </a:p>
        </xdr:txBody>
      </xdr:sp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30609BFB-1CF3-4C05-ACFB-ADB0CE9A7666}"/>
              </a:ext>
            </a:extLst>
          </xdr:cNvPr>
          <xdr:cNvSpPr/>
        </xdr:nvSpPr>
        <xdr:spPr>
          <a:xfrm>
            <a:off x="1982276" y="9098238"/>
            <a:ext cx="21905500" cy="386759"/>
          </a:xfrm>
          <a:prstGeom prst="rect">
            <a:avLst/>
          </a:prstGeom>
          <a:noFill/>
          <a:ln w="28575">
            <a:solidFill>
              <a:schemeClr val="accent2">
                <a:lumMod val="75000"/>
              </a:schemeClr>
            </a:solidFill>
            <a:prstDash val="lg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DO" sz="1100"/>
          </a:p>
        </xdr:txBody>
      </xdr:sp>
    </xdr:grpSp>
    <xdr:clientData/>
  </xdr:twoCellAnchor>
  <xdr:twoCellAnchor>
    <xdr:from>
      <xdr:col>1</xdr:col>
      <xdr:colOff>818375</xdr:colOff>
      <xdr:row>66</xdr:row>
      <xdr:rowOff>38878</xdr:rowOff>
    </xdr:from>
    <xdr:to>
      <xdr:col>29</xdr:col>
      <xdr:colOff>729232</xdr:colOff>
      <xdr:row>111</xdr:row>
      <xdr:rowOff>79699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1BF9B3AA-1D2E-2B7E-7B56-DC7370737F09}"/>
            </a:ext>
          </a:extLst>
        </xdr:cNvPr>
        <xdr:cNvGrpSpPr/>
      </xdr:nvGrpSpPr>
      <xdr:grpSpPr>
        <a:xfrm>
          <a:off x="1649648" y="15061163"/>
          <a:ext cx="23186493" cy="10283289"/>
          <a:chOff x="1642579" y="14921205"/>
          <a:chExt cx="22988572" cy="10187861"/>
        </a:xfrm>
      </xdr:grpSpPr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7DE3A406-EE9C-3895-175E-0939E14AA3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42579" y="14921205"/>
            <a:ext cx="22988572" cy="10187861"/>
          </a:xfrm>
          <a:prstGeom prst="rect">
            <a:avLst/>
          </a:prstGeom>
        </xdr:spPr>
      </xdr:pic>
      <xdr:sp macro="" textlink="">
        <xdr:nvSpPr>
          <xdr:cNvPr id="45" name="CuadroTexto 44">
            <a:extLst>
              <a:ext uri="{FF2B5EF4-FFF2-40B4-BE49-F238E27FC236}">
                <a16:creationId xmlns:a16="http://schemas.microsoft.com/office/drawing/2014/main" id="{ADE4CC1D-AC20-405A-9923-3CA88103A0F1}"/>
              </a:ext>
            </a:extLst>
          </xdr:cNvPr>
          <xdr:cNvSpPr txBox="1"/>
        </xdr:nvSpPr>
        <xdr:spPr>
          <a:xfrm>
            <a:off x="22813048" y="15107817"/>
            <a:ext cx="726356" cy="460291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DO" sz="2000" b="1"/>
              <a:t>1.4</a:t>
            </a:r>
          </a:p>
        </xdr:txBody>
      </xdr:sp>
      <xdr:sp macro="" textlink="">
        <xdr:nvSpPr>
          <xdr:cNvPr id="46" name="Rectángulo 45">
            <a:extLst>
              <a:ext uri="{FF2B5EF4-FFF2-40B4-BE49-F238E27FC236}">
                <a16:creationId xmlns:a16="http://schemas.microsoft.com/office/drawing/2014/main" id="{A977B480-54D8-436A-9189-6AF847131160}"/>
              </a:ext>
            </a:extLst>
          </xdr:cNvPr>
          <xdr:cNvSpPr/>
        </xdr:nvSpPr>
        <xdr:spPr>
          <a:xfrm>
            <a:off x="21048305" y="15107815"/>
            <a:ext cx="1656185" cy="4369837"/>
          </a:xfrm>
          <a:prstGeom prst="rect">
            <a:avLst/>
          </a:prstGeom>
          <a:noFill/>
          <a:ln w="28575">
            <a:solidFill>
              <a:schemeClr val="accent2">
                <a:lumMod val="75000"/>
              </a:schemeClr>
            </a:solidFill>
            <a:prstDash val="lg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DO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283027</xdr:colOff>
      <xdr:row>2</xdr:row>
      <xdr:rowOff>48986</xdr:rowOff>
    </xdr:from>
    <xdr:to>
      <xdr:col>6</xdr:col>
      <xdr:colOff>103414</xdr:colOff>
      <xdr:row>11</xdr:row>
      <xdr:rowOff>195943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882E79-08D8-4230-8E70-23F469BF3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192100</xdr:colOff>
      <xdr:row>39</xdr:row>
      <xdr:rowOff>194021</xdr:rowOff>
    </xdr:from>
    <xdr:to>
      <xdr:col>6</xdr:col>
      <xdr:colOff>403411</xdr:colOff>
      <xdr:row>53</xdr:row>
      <xdr:rowOff>158162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352FB-57D3-057F-4D2E-B7E22C042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168.840256249998" createdVersion="8" refreshedVersion="8" minRefreshableVersion="3" recordCount="20" xr:uid="{EF749D74-AE0B-4567-8870-2F23EE21709A}">
  <cacheSource type="worksheet">
    <worksheetSource name="Tabla1"/>
  </cacheSource>
  <cacheFields count="15">
    <cacheField name="Genre" numFmtId="0">
      <sharedItems count="4">
        <s v="travel"/>
        <s v="film"/>
        <s v="comedy" u="1"/>
        <s v="bike service" u="1"/>
      </sharedItems>
    </cacheField>
    <cacheField name="Video title" numFmtId="0">
      <sharedItems/>
    </cacheField>
    <cacheField name="Video publish time" numFmtId="164">
      <sharedItems count="19">
        <s v="27/8/2022"/>
        <s v="15/11/2022"/>
        <s v="25/8/2022"/>
        <s v="23/11/2022"/>
        <s v="1/10/2022"/>
        <s v="30/4/2023"/>
        <s v="7/5/2023"/>
        <s v="15/5/2023"/>
        <s v="20/4/2023"/>
        <s v="21/5/2023"/>
        <s v="11/4/2022"/>
        <s v="9/10/2022"/>
        <s v="16/10/2022"/>
        <s v="19/10/2022"/>
        <s v="25/10/2022"/>
        <s v="1/11/2022"/>
        <s v="19/1/2023"/>
        <s v="8/11/2022"/>
        <s v="19/7/2022"/>
      </sharedItems>
    </cacheField>
    <cacheField name="Columna1" numFmtId="167">
      <sharedItems count="8">
        <s v="8-2022"/>
        <s v="11-2022"/>
        <s v="10-2022"/>
        <s v="4-2023"/>
        <s v="5-2023"/>
        <s v="4-2022"/>
        <s v="1-2023"/>
        <s v="7-2022"/>
      </sharedItems>
    </cacheField>
    <cacheField name="Views" numFmtId="0">
      <sharedItems containsSemiMixedTypes="0" containsString="0" containsNumber="1" containsInteger="1" minValue="1" maxValue="170"/>
    </cacheField>
    <cacheField name="QTY Usuarios" numFmtId="0">
      <sharedItems containsSemiMixedTypes="0" containsString="0" containsNumber="1" containsInteger="1" minValue="1" maxValue="157"/>
    </cacheField>
    <cacheField name="Watch Total time (hours)" numFmtId="0">
      <sharedItems containsSemiMixedTypes="0" containsString="0" containsNumber="1" minValue="3.8999999999999998E-3" maxValue="8.3785000000000007"/>
    </cacheField>
    <cacheField name="Subscribers" numFmtId="0">
      <sharedItems containsSemiMixedTypes="0" containsString="0" containsNumber="1" containsInteger="1" minValue="0" maxValue="2"/>
    </cacheField>
    <cacheField name="Average view duration" numFmtId="21">
      <sharedItems containsSemiMixedTypes="0" containsNonDate="0" containsDate="1" containsString="0" minDate="1899-12-30T00:00:12" maxDate="1899-12-30T00:06:21"/>
    </cacheField>
    <cacheField name="Impressions" numFmtId="0">
      <sharedItems containsSemiMixedTypes="0" containsString="0" containsNumber="1" containsInteger="1" minValue="36" maxValue="1740"/>
    </cacheField>
    <cacheField name="Impressions click-through rate (%)" numFmtId="0">
      <sharedItems containsSemiMixedTypes="0" containsString="0" containsNumber="1" minValue="0.7" maxValue="10.95"/>
    </cacheField>
    <cacheField name="Pais" numFmtId="0">
      <sharedItems containsBlank="1" count="5">
        <s v="Japon"/>
        <s v="Brasil"/>
        <s v="EU"/>
        <s v="USA"/>
        <m u="1"/>
      </sharedItems>
    </cacheField>
    <cacheField name="Ingresos" numFmtId="0">
      <sharedItems containsSemiMixedTypes="0" containsString="0" containsNumber="1" containsInteger="1" minValue="444420" maxValue="21480300"/>
    </cacheField>
    <cacheField name="Vistas promedio por usuario" numFmtId="43">
      <sharedItems containsSemiMixedTypes="0" containsString="0" containsNumber="1" minValue="0.6" maxValue="1.25"/>
    </cacheField>
    <cacheField name="Tiempo promedio por usuario (horas)" numFmtId="43">
      <sharedItems containsSemiMixedTypes="0" containsString="0" containsNumber="1" minValue="3.4499999999999999E-3" maxValue="0.10648214285714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Ala  NALLAMALA  Adavullo | Nallamala forest telugu vlog | vloGO Vk  | vamshiVk"/>
    <x v="0"/>
    <x v="0"/>
    <n v="1"/>
    <n v="1"/>
    <n v="5.0000000000000001E-3"/>
    <n v="0"/>
    <d v="1899-12-30T00:00:18"/>
    <n v="36"/>
    <n v="2.78"/>
    <x v="0"/>
    <n v="444420"/>
    <n v="1"/>
    <n v="5.0000000000000001E-3"/>
  </r>
  <r>
    <x v="0"/>
    <s v="Come lets go to a 2200 year old ancient temple | Gudimallam | Telugu vlog | vloGO Vk | VamshiVk"/>
    <x v="1"/>
    <x v="1"/>
    <n v="2"/>
    <n v="2"/>
    <n v="6.8999999999999999E-3"/>
    <n v="0"/>
    <d v="1899-12-30T00:00:12"/>
    <n v="65"/>
    <n v="3.08"/>
    <x v="1"/>
    <n v="802425"/>
    <n v="1"/>
    <n v="3.4499999999999999E-3"/>
  </r>
  <r>
    <x v="0"/>
    <s v="Dakshin Express General coach experience  | Secunderabad to Nagpur"/>
    <x v="2"/>
    <x v="0"/>
    <n v="34"/>
    <n v="32"/>
    <n v="0.81979999999999997"/>
    <n v="0"/>
    <d v="1899-12-30T00:01:26"/>
    <n v="274"/>
    <n v="10.95"/>
    <x v="2"/>
    <n v="3382530"/>
    <n v="1.0625"/>
    <n v="2.5618749999999999E-2"/>
  </r>
  <r>
    <x v="0"/>
    <s v="MAHULI FORT | an adventurous trek experience  | vloGO vk | vamshi vk"/>
    <x v="3"/>
    <x v="1"/>
    <n v="4"/>
    <n v="4"/>
    <n v="0.38719999999999999"/>
    <n v="0"/>
    <d v="1899-12-30T00:05:48"/>
    <n v="64"/>
    <n v="3.13"/>
    <x v="3"/>
    <n v="790080"/>
    <n v="1"/>
    <n v="9.6799999999999997E-2"/>
  </r>
  <r>
    <x v="0"/>
    <s v="MEDAK CHURCH ki velthey... | Telugu MotoVlogs | vloGO Vk | VamshiVk"/>
    <x v="4"/>
    <x v="2"/>
    <n v="1"/>
    <n v="1"/>
    <n v="0.106"/>
    <n v="0"/>
    <d v="1899-12-30T00:06:21"/>
    <n v="66"/>
    <n v="1.52"/>
    <x v="2"/>
    <n v="814770"/>
    <n v="1"/>
    <n v="0.106"/>
  </r>
  <r>
    <x v="1"/>
    <s v="Nirvana | Episode - 1 | New Telugu Series 2023 | with English Subtitles | Vamshi Vk"/>
    <x v="5"/>
    <x v="3"/>
    <n v="14"/>
    <n v="13"/>
    <n v="0.22040000000000001"/>
    <n v="0"/>
    <d v="1899-12-30T00:00:56"/>
    <n v="306"/>
    <n v="3.27"/>
    <x v="3"/>
    <n v="3777570"/>
    <n v="1.0769230769230769"/>
    <n v="1.6953846153846156E-2"/>
  </r>
  <r>
    <x v="1"/>
    <s v="Nirvana | Episode - 2 | New Telugu Series 2023  | Vamshi Vk"/>
    <x v="6"/>
    <x v="4"/>
    <n v="5"/>
    <n v="5"/>
    <n v="2.46E-2"/>
    <n v="0"/>
    <d v="1899-12-30T00:00:17"/>
    <n v="143"/>
    <n v="0.7"/>
    <x v="3"/>
    <n v="1765335"/>
    <n v="1"/>
    <n v="4.9199999999999999E-3"/>
  </r>
  <r>
    <x v="1"/>
    <s v="Nirvana | Episode - 3 | New Telugu Series 2023 |Vamshi Vk"/>
    <x v="7"/>
    <x v="4"/>
    <n v="6"/>
    <n v="10"/>
    <n v="0.22259999999999999"/>
    <n v="1"/>
    <d v="1899-12-30T00:02:13"/>
    <n v="196"/>
    <n v="2.5499999999999998"/>
    <x v="0"/>
    <n v="2419620"/>
    <n v="0.6"/>
    <n v="2.2259999999999999E-2"/>
  </r>
  <r>
    <x v="1"/>
    <s v="Nirvana | New Telugu Series 2023 | TRAILER | Vamshi Vk"/>
    <x v="8"/>
    <x v="3"/>
    <n v="4"/>
    <n v="4"/>
    <n v="2.35E-2"/>
    <n v="0"/>
    <d v="1899-12-30T00:00:21"/>
    <n v="130"/>
    <n v="2.31"/>
    <x v="0"/>
    <n v="1604850"/>
    <n v="1"/>
    <n v="5.875E-3"/>
  </r>
  <r>
    <x v="1"/>
    <s v="Nirvana | New Telugu Short film 2023 | Vamshi Vk"/>
    <x v="9"/>
    <x v="4"/>
    <n v="4"/>
    <n v="5"/>
    <n v="2.4500000000000001E-2"/>
    <n v="0"/>
    <d v="1899-12-30T00:00:22"/>
    <n v="166"/>
    <n v="1.2"/>
    <x v="0"/>
    <n v="2049270"/>
    <n v="0.8"/>
    <n v="4.8999999999999998E-3"/>
  </r>
  <r>
    <x v="0"/>
    <s v="SUNRISE at koheda gutta | The hidden gem of hyderabad | Telugu Motovlog | Vamshivk"/>
    <x v="10"/>
    <x v="5"/>
    <n v="22"/>
    <n v="21"/>
    <n v="0.64349999999999996"/>
    <n v="0"/>
    <d v="1899-12-30T00:01:45"/>
    <n v="153"/>
    <n v="9.15"/>
    <x v="1"/>
    <n v="1888785"/>
    <n v="1.0476190476190477"/>
    <n v="3.0642857142857142E-2"/>
  </r>
  <r>
    <x v="0"/>
    <s v="Tirumala Trip in Sequence  | DAY 1 | Telugu vlog  | Train Journey  |  VamshiVk"/>
    <x v="11"/>
    <x v="2"/>
    <n v="82"/>
    <n v="76"/>
    <n v="2.242"/>
    <n v="0"/>
    <d v="1899-12-30T00:01:38"/>
    <n v="1106"/>
    <n v="5.15"/>
    <x v="0"/>
    <n v="13653570"/>
    <n v="1.0789473684210527"/>
    <n v="2.9499999999999998E-2"/>
  </r>
  <r>
    <x v="0"/>
    <s v="Tirumala Trip in Sequence | DAY 2 | Tiruchaanoor - Kapila theertham  Telugu vlog |  vloGO Vk"/>
    <x v="12"/>
    <x v="2"/>
    <n v="115"/>
    <n v="107"/>
    <n v="8.3785000000000007"/>
    <n v="2"/>
    <d v="1899-12-30T00:04:22"/>
    <n v="1013"/>
    <n v="8.49"/>
    <x v="2"/>
    <n v="12505485"/>
    <n v="1.0747663551401869"/>
    <n v="7.8303738317757013E-2"/>
  </r>
  <r>
    <x v="0"/>
    <s v="Tirumala Trip in Sequence | DAY 2 | Tiruchaanoor - Kapila theertham  Telugu vlog |  vloGO Vk23"/>
    <x v="13"/>
    <x v="2"/>
    <n v="123"/>
    <n v="107"/>
    <n v="8.3785000000000007"/>
    <n v="2"/>
    <d v="1899-12-30T00:04:22"/>
    <n v="1013"/>
    <n v="8.49"/>
    <x v="2"/>
    <n v="12505485"/>
    <n v="1.1495327102803738"/>
    <n v="7.8303738317757013E-2"/>
  </r>
  <r>
    <x v="0"/>
    <s v="Tirumala Trip in Sequence | DAY 3 | ALIPIRI METTU TREK |  Telugu vlog |  vloGO Vk | Vamshi Vk"/>
    <x v="14"/>
    <x v="2"/>
    <n v="60"/>
    <n v="56"/>
    <n v="5.9630000000000001"/>
    <n v="0"/>
    <d v="1899-12-30T00:05:57"/>
    <n v="665"/>
    <n v="5.26"/>
    <x v="0"/>
    <n v="8209425"/>
    <n v="1.0714285714285714"/>
    <n v="0.10648214285714286"/>
  </r>
  <r>
    <x v="0"/>
    <s v="Tirumala Trip in Sequence | DAY 3 | ALIPIRI METTU TREK |  Telugu vlog |  vloGO Vk | Vamshi Vk34"/>
    <x v="14"/>
    <x v="2"/>
    <n v="60"/>
    <n v="87"/>
    <n v="5.9630000000000001"/>
    <n v="0"/>
    <d v="1899-12-30T00:05:57"/>
    <n v="665"/>
    <n v="5.26"/>
    <x v="1"/>
    <n v="8209425"/>
    <n v="0.68965517241379315"/>
    <n v="6.8540229885057466E-2"/>
  </r>
  <r>
    <x v="0"/>
    <s v="Tirumala Trip in Sequence | DAY 4 | BRAHMOSTAVALU | sight seeing places Telugu vlog |  vloGO Vk"/>
    <x v="15"/>
    <x v="1"/>
    <n v="30"/>
    <n v="28"/>
    <n v="2.3978000000000002"/>
    <n v="0"/>
    <d v="1899-12-30T00:04:47"/>
    <n v="247"/>
    <n v="5.67"/>
    <x v="2"/>
    <n v="3049215"/>
    <n v="1.0714285714285714"/>
    <n v="8.5635714285714287E-2"/>
  </r>
  <r>
    <x v="0"/>
    <s v="Tirumala Trip in Sequence | DAY 4 | BRAHMOSTAVALU | sight seeing places Telugu vlog |  vloGO Vk"/>
    <x v="16"/>
    <x v="6"/>
    <n v="35"/>
    <n v="28"/>
    <n v="2.3978000000000002"/>
    <n v="0"/>
    <d v="1899-12-30T00:04:47"/>
    <n v="247"/>
    <n v="5.67"/>
    <x v="3"/>
    <n v="3049215"/>
    <n v="1.25"/>
    <n v="8.5635714285714287E-2"/>
  </r>
  <r>
    <x v="0"/>
    <s v="Tirupati to Srikalahasti | DAY 5&amp;6 | Tirumala Darshanam Correct Sequence | Telugu vlog |  vloGO Vk"/>
    <x v="17"/>
    <x v="1"/>
    <n v="170"/>
    <n v="157"/>
    <n v="5.8646000000000003"/>
    <n v="0"/>
    <d v="1899-12-30T00:02:04"/>
    <n v="1740"/>
    <n v="7.59"/>
    <x v="3"/>
    <n v="21480300"/>
    <n v="1.0828025477707006"/>
    <n v="3.7354140127388538E-2"/>
  </r>
  <r>
    <x v="1"/>
    <s v="To BE or Not To BE | Short film | no dialogue, single character film | VamshiVk"/>
    <x v="18"/>
    <x v="7"/>
    <n v="1"/>
    <n v="1"/>
    <n v="3.8999999999999998E-3"/>
    <n v="0"/>
    <d v="1899-12-30T00:00:13"/>
    <n v="54"/>
    <n v="1.85"/>
    <x v="1"/>
    <n v="666630"/>
    <n v="1"/>
    <n v="3.899999999999999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5E171-95FF-4E04-9378-A10FF4003ECF}" name="TablaDinámica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0:J60" firstHeaderRow="1" firstDataRow="1" firstDataCol="1"/>
  <pivotFields count="15">
    <pivotField showAll="0"/>
    <pivotField showAll="0"/>
    <pivotField axis="axisRow" showAll="0">
      <items count="20">
        <item x="4"/>
        <item x="15"/>
        <item x="10"/>
        <item x="1"/>
        <item x="7"/>
        <item x="12"/>
        <item x="16"/>
        <item x="13"/>
        <item x="18"/>
        <item x="8"/>
        <item x="9"/>
        <item x="3"/>
        <item x="14"/>
        <item x="2"/>
        <item x="0"/>
        <item x="5"/>
        <item x="6"/>
        <item x="17"/>
        <item x="11"/>
        <item t="default"/>
      </items>
    </pivotField>
    <pivotField showAll="0"/>
    <pivotField showAll="0"/>
    <pivotField showAll="0"/>
    <pivotField showAll="0"/>
    <pivotField showAll="0"/>
    <pivotField numFmtId="21" showAll="0"/>
    <pivotField dataField="1" showAll="0"/>
    <pivotField showAll="0"/>
    <pivotField showAll="0"/>
    <pivotField showAll="0"/>
    <pivotField numFmtId="43" showAll="0"/>
    <pivotField numFmtId="43"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de Impressions" fld="9" baseField="0" baseItem="0"/>
  </dataFields>
  <formats count="1">
    <format dxfId="1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4A529-540C-4894-8F95-FD4DB33DD2C6}" name="TablaDinámica7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4:J36" firstHeaderRow="1" firstDataRow="1" firstDataCol="1"/>
  <pivotFields count="15">
    <pivotField axis="axisRow" showAll="0" sortType="descending">
      <items count="5">
        <item m="1" x="3"/>
        <item m="1"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1"/>
        <item x="2"/>
        <item x="0"/>
        <item x="3"/>
        <item sd="0"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3" showAll="0"/>
    <pivotField numFmtId="43" showAll="0"/>
  </pivotFields>
  <rowFields count="2">
    <field x="11"/>
    <field x="0"/>
  </rowFields>
  <rowItems count="12">
    <i>
      <x v="1"/>
    </i>
    <i r="1">
      <x v="3"/>
    </i>
    <i>
      <x v="3"/>
    </i>
    <i r="1">
      <x v="3"/>
    </i>
    <i r="1">
      <x v="2"/>
    </i>
    <i>
      <x/>
    </i>
    <i r="1">
      <x v="3"/>
    </i>
    <i r="1">
      <x v="2"/>
    </i>
    <i>
      <x v="2"/>
    </i>
    <i r="1">
      <x v="3"/>
    </i>
    <i r="1">
      <x v="2"/>
    </i>
    <i t="grand">
      <x/>
    </i>
  </rowItems>
  <colItems count="1">
    <i/>
  </colItems>
  <dataFields count="1">
    <dataField name="Suma de Impressions click-through rate (%)" fld="10" baseField="0" baseItem="2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33E75-7155-4196-B7BC-95C62B98AFD4}" name="TablaDiná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5:K2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21" showAll="0"/>
    <pivotField showAll="0"/>
    <pivotField showAll="0"/>
    <pivotField axis="axisRow" showAll="0">
      <items count="6">
        <item x="1"/>
        <item x="2"/>
        <item x="0"/>
        <item x="3"/>
        <item m="1" x="4"/>
        <item t="default"/>
      </items>
    </pivotField>
    <pivotField showAll="0"/>
    <pivotField dataField="1" numFmtId="43" showAll="0"/>
    <pivotField dataField="1" numFmtId="43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Vistas promedio por usuario" fld="13" subtotal="average" baseField="10" baseItem="3" numFmtId="43"/>
    <dataField name="Promedio de Tiempo promedio por usuario (horas)" fld="14" subtotal="average" baseField="10" baseItem="3" numFmtId="43"/>
  </dataFields>
  <formats count="1">
    <format dxfId="8">
      <pivotArea collapsedLevelsAreSubtotals="1" fieldPosition="0">
        <references count="2">
          <reference field="4294967294" count="1" selected="0">
            <x v="0"/>
          </reference>
          <reference field="1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EAF35-D1FD-4398-8D0D-B7A31D0BF762}" name="TablaDinámica4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5:K10" firstHeaderRow="0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m="1" x="4"/>
        <item t="default"/>
      </items>
    </pivotField>
    <pivotField showAll="0"/>
    <pivotField numFmtId="43" showAll="0"/>
    <pivotField numFmtId="43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iews" fld="4" baseField="0" baseItem="0" numFmtId="165"/>
    <dataField name="Suma de Views2" fld="4" showDataAs="percentOfCol" baseField="0" baseItem="0" numFmtId="10"/>
  </dataFields>
  <formats count="4">
    <format dxfId="12">
      <pivotArea outline="0" collapsedLevelsAreSubtotals="1" fieldPosition="0"/>
    </format>
    <format dxfId="11">
      <pivotArea dataOnly="0" labelOnly="1" fieldPosition="0">
        <references count="1">
          <reference field="11" count="0"/>
        </references>
      </pivotArea>
    </format>
    <format dxfId="10">
      <pivotArea dataOnly="0" labelOnly="1" grandRow="1" outline="0" fieldPosition="0"/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A3729-6AC8-4D2A-B626-51F1765A4EE1}" name="Tabla1" displayName="Tabla1" ref="A1:O21" totalsRowShown="0" headerRowDxfId="6">
  <autoFilter ref="A1:O21" xr:uid="{E52A3729-6AC8-4D2A-B626-51F1765A4EE1}"/>
  <sortState xmlns:xlrd2="http://schemas.microsoft.com/office/spreadsheetml/2017/richdata2" ref="A2:M21">
    <sortCondition ref="B1:B21"/>
  </sortState>
  <tableColumns count="15">
    <tableColumn id="1" xr3:uid="{B2994318-2B3D-4434-A88E-A845CE8B87CE}" name="Genre"/>
    <tableColumn id="2" xr3:uid="{DC1DB3A9-F768-4BB0-BC36-5D28460A6EC9}" name="Video title"/>
    <tableColumn id="3" xr3:uid="{3D454DAB-917B-45B0-9E31-CC232FC32AA4}" name="Video publish time" dataDxfId="5"/>
    <tableColumn id="13" xr3:uid="{821B64B2-0A90-4EB2-8E57-63E1C8EF710F}" name="Columna1" dataDxfId="0"/>
    <tableColumn id="4" xr3:uid="{1FABBCB9-90BF-49EE-8024-333F3C4D295F}" name="Views"/>
    <tableColumn id="5" xr3:uid="{4E86A099-FE9D-4BBD-AB8B-F9D8C81F9C5E}" name="QTY Usuarios"/>
    <tableColumn id="6" xr3:uid="{181B567B-CFCE-4777-92E6-EF2F1F4085B0}" name="Watch Total time (hours)"/>
    <tableColumn id="7" xr3:uid="{31C3D120-E086-4EA9-A750-14C2748C0099}" name="Subscribers"/>
    <tableColumn id="8" xr3:uid="{C9D3390B-BF4D-4062-AD21-F8BBA83113FB}" name="Average view duration" dataDxfId="4"/>
    <tableColumn id="9" xr3:uid="{D7976C25-866C-4809-B247-85C654254F04}" name="Impressions"/>
    <tableColumn id="10" xr3:uid="{CC89F724-B6F9-4F38-B144-1F5DE96B7CD9}" name="Impressions click-through rate (%)"/>
    <tableColumn id="11" xr3:uid="{14BE12E4-9528-409F-8E4A-FF48A5A4E8AC}" name="Pais"/>
    <tableColumn id="12" xr3:uid="{AB6DB6D4-440C-4020-8D2A-8D9190BE4D2A}" name="Ingresos"/>
    <tableColumn id="17" xr3:uid="{A3BF593E-8C8F-4B5F-8FEF-1D23C0EF906E}" name="Vistas promedio por usuario" dataDxfId="3" dataCellStyle="Millares">
      <calculatedColumnFormula>Tabla1[[#This Row],[Views]]/Tabla1[[#This Row],[QTY Usuarios]]</calculatedColumnFormula>
    </tableColumn>
    <tableColumn id="18" xr3:uid="{5723F539-C708-4FFD-A5F7-415F64EB7635}" name="Tiempo promedio por usuario (horas)" dataDxfId="2" dataCellStyle="Millares">
      <calculatedColumnFormula>Tabla1[[#This Row],[Watch Total time (hours)]]/Tabla1[[#This Row],[QTY Usuarios]]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0B8F-D03C-4308-A0F6-0B76064F86E4}">
  <sheetPr>
    <tabColor theme="6"/>
  </sheetPr>
  <dimension ref="B2:D114"/>
  <sheetViews>
    <sheetView showGridLines="0" tabSelected="1" zoomScale="55" zoomScaleNormal="55" workbookViewId="0">
      <selection activeCell="C6" sqref="C6"/>
    </sheetView>
  </sheetViews>
  <sheetFormatPr baseColWidth="10" defaultRowHeight="18" x14ac:dyDescent="0.55000000000000004"/>
  <cols>
    <col min="1" max="1" width="10.85546875" style="17"/>
    <col min="2" max="2" width="10.85546875" style="18"/>
    <col min="3" max="16384" width="10.85546875" style="17"/>
  </cols>
  <sheetData>
    <row r="2" spans="2:3" x14ac:dyDescent="0.55000000000000004">
      <c r="B2" s="20" t="s">
        <v>79</v>
      </c>
      <c r="C2" s="21" t="s">
        <v>74</v>
      </c>
    </row>
    <row r="3" spans="2:3" x14ac:dyDescent="0.55000000000000004">
      <c r="C3" s="19" t="s">
        <v>75</v>
      </c>
    </row>
    <row r="4" spans="2:3" x14ac:dyDescent="0.55000000000000004">
      <c r="C4" s="19" t="s">
        <v>76</v>
      </c>
    </row>
    <row r="5" spans="2:3" x14ac:dyDescent="0.55000000000000004">
      <c r="C5" s="19" t="s">
        <v>77</v>
      </c>
    </row>
    <row r="6" spans="2:3" x14ac:dyDescent="0.55000000000000004">
      <c r="C6" s="19" t="s">
        <v>78</v>
      </c>
    </row>
    <row r="7" spans="2:3" x14ac:dyDescent="0.55000000000000004">
      <c r="C7" s="19" t="s">
        <v>84</v>
      </c>
    </row>
    <row r="10" spans="2:3" x14ac:dyDescent="0.55000000000000004">
      <c r="B10" s="20" t="s">
        <v>73</v>
      </c>
      <c r="C10" s="17" t="s">
        <v>80</v>
      </c>
    </row>
    <row r="11" spans="2:3" x14ac:dyDescent="0.55000000000000004">
      <c r="C11" s="19" t="s">
        <v>81</v>
      </c>
    </row>
    <row r="12" spans="2:3" x14ac:dyDescent="0.55000000000000004">
      <c r="C12" s="19" t="s">
        <v>82</v>
      </c>
    </row>
    <row r="63" spans="3:3" x14ac:dyDescent="0.55000000000000004">
      <c r="C63" s="19"/>
    </row>
    <row r="64" spans="3:3" x14ac:dyDescent="0.55000000000000004">
      <c r="C64" s="19" t="s">
        <v>83</v>
      </c>
    </row>
    <row r="65" spans="4:4" x14ac:dyDescent="0.55000000000000004">
      <c r="D65" s="17" t="s">
        <v>90</v>
      </c>
    </row>
    <row r="66" spans="4:4" x14ac:dyDescent="0.55000000000000004">
      <c r="D66" s="17" t="s">
        <v>91</v>
      </c>
    </row>
    <row r="114" spans="2:3" x14ac:dyDescent="0.55000000000000004">
      <c r="B114" s="20" t="s">
        <v>85</v>
      </c>
      <c r="C114" s="17" t="s">
        <v>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08D5-D776-4AA7-8676-B792C6A9603E}">
  <sheetPr>
    <tabColor theme="6"/>
  </sheetPr>
  <dimension ref="B5:K60"/>
  <sheetViews>
    <sheetView zoomScale="85" zoomScaleNormal="85" workbookViewId="0">
      <selection activeCell="D21" sqref="D21"/>
    </sheetView>
  </sheetViews>
  <sheetFormatPr baseColWidth="10" defaultRowHeight="15.9" x14ac:dyDescent="0.45"/>
  <cols>
    <col min="2" max="2" width="24.78515625" customWidth="1"/>
    <col min="3" max="4" width="12" customWidth="1"/>
    <col min="5" max="6" width="22.5703125" customWidth="1"/>
    <col min="7" max="7" width="16.2109375" bestFit="1" customWidth="1"/>
    <col min="8" max="8" width="22.5703125" bestFit="1" customWidth="1"/>
    <col min="9" max="9" width="16.640625" bestFit="1" customWidth="1"/>
    <col min="10" max="10" width="13.2109375" bestFit="1" customWidth="1"/>
    <col min="11" max="11" width="14.2109375" bestFit="1" customWidth="1"/>
    <col min="12" max="12" width="16.640625" bestFit="1" customWidth="1"/>
    <col min="13" max="13" width="18.7109375" bestFit="1" customWidth="1"/>
  </cols>
  <sheetData>
    <row r="5" spans="2:11" x14ac:dyDescent="0.45">
      <c r="B5" s="31" t="s">
        <v>86</v>
      </c>
      <c r="C5" s="31" t="s">
        <v>87</v>
      </c>
      <c r="D5" s="31" t="s">
        <v>88</v>
      </c>
      <c r="I5" s="3" t="s">
        <v>46</v>
      </c>
      <c r="J5" t="s">
        <v>45</v>
      </c>
      <c r="K5" t="s">
        <v>68</v>
      </c>
    </row>
    <row r="6" spans="2:11" x14ac:dyDescent="0.45">
      <c r="B6" s="22" t="s">
        <v>22</v>
      </c>
      <c r="C6" s="22">
        <v>85</v>
      </c>
      <c r="D6" s="23">
        <v>0.10996119016817593</v>
      </c>
      <c r="E6" s="13"/>
      <c r="F6" s="13"/>
      <c r="I6" s="11" t="s">
        <v>14</v>
      </c>
      <c r="J6" s="12">
        <v>85</v>
      </c>
      <c r="K6" s="5">
        <v>0.10996119016817593</v>
      </c>
    </row>
    <row r="7" spans="2:11" x14ac:dyDescent="0.45">
      <c r="B7" s="22" t="s">
        <v>29</v>
      </c>
      <c r="C7" s="22">
        <v>303</v>
      </c>
      <c r="D7" s="23">
        <v>0.39197930142302717</v>
      </c>
      <c r="E7" s="13"/>
      <c r="F7" s="13"/>
      <c r="I7" s="11" t="s">
        <v>22</v>
      </c>
      <c r="J7" s="12">
        <v>303</v>
      </c>
      <c r="K7" s="5">
        <v>0.39197930142302717</v>
      </c>
    </row>
    <row r="8" spans="2:11" x14ac:dyDescent="0.45">
      <c r="B8" s="24" t="s">
        <v>24</v>
      </c>
      <c r="C8" s="24">
        <v>157</v>
      </c>
      <c r="D8" s="25">
        <v>0.20310478654592498</v>
      </c>
      <c r="E8" s="13"/>
      <c r="F8" s="13"/>
      <c r="I8" s="11" t="s">
        <v>24</v>
      </c>
      <c r="J8" s="12">
        <v>157</v>
      </c>
      <c r="K8" s="5">
        <v>0.20310478654592498</v>
      </c>
    </row>
    <row r="9" spans="2:11" x14ac:dyDescent="0.45">
      <c r="B9" s="22" t="s">
        <v>14</v>
      </c>
      <c r="C9" s="22">
        <v>228</v>
      </c>
      <c r="D9" s="23">
        <v>0.29495472186287192</v>
      </c>
      <c r="E9" s="13"/>
      <c r="F9" s="13"/>
      <c r="I9" s="11" t="s">
        <v>29</v>
      </c>
      <c r="J9" s="12">
        <v>228</v>
      </c>
      <c r="K9" s="5">
        <v>0.29495472186287192</v>
      </c>
    </row>
    <row r="10" spans="2:11" x14ac:dyDescent="0.45">
      <c r="B10" s="22" t="s">
        <v>47</v>
      </c>
      <c r="C10" s="22">
        <v>773</v>
      </c>
      <c r="D10" s="22">
        <v>1</v>
      </c>
      <c r="I10" s="11" t="s">
        <v>47</v>
      </c>
      <c r="J10" s="12">
        <v>773</v>
      </c>
      <c r="K10" s="5">
        <v>1</v>
      </c>
    </row>
    <row r="15" spans="2:11" ht="18" customHeight="1" x14ac:dyDescent="0.45">
      <c r="B15" s="27" t="s">
        <v>89</v>
      </c>
      <c r="C15" s="27" t="s">
        <v>69</v>
      </c>
      <c r="D15" s="27" t="s">
        <v>70</v>
      </c>
      <c r="I15" s="3" t="s">
        <v>46</v>
      </c>
      <c r="J15" t="s">
        <v>71</v>
      </c>
      <c r="K15" t="s">
        <v>72</v>
      </c>
    </row>
    <row r="16" spans="2:11" x14ac:dyDescent="0.45">
      <c r="B16" s="22" t="s">
        <v>14</v>
      </c>
      <c r="C16" s="28">
        <v>0.93431855500821015</v>
      </c>
      <c r="D16" s="28">
        <v>2.663327175697865E-2</v>
      </c>
      <c r="I16" s="4" t="s">
        <v>14</v>
      </c>
      <c r="J16" s="16">
        <v>0.93431855500821015</v>
      </c>
      <c r="K16" s="6">
        <v>2.663327175697865E-2</v>
      </c>
    </row>
    <row r="17" spans="2:11" x14ac:dyDescent="0.45">
      <c r="B17" s="24" t="s">
        <v>22</v>
      </c>
      <c r="C17" s="28">
        <v>1.0716455273698264</v>
      </c>
      <c r="D17" s="32">
        <v>7.4772388184245656E-2</v>
      </c>
      <c r="I17" s="4" t="s">
        <v>22</v>
      </c>
      <c r="J17" s="6">
        <v>1.0716455273698264</v>
      </c>
      <c r="K17" s="6">
        <v>7.4772388184245656E-2</v>
      </c>
    </row>
    <row r="18" spans="2:11" x14ac:dyDescent="0.45">
      <c r="B18" s="22" t="s">
        <v>24</v>
      </c>
      <c r="C18" s="29">
        <v>0.92506265664160414</v>
      </c>
      <c r="D18" s="29">
        <v>2.9002857142857146E-2</v>
      </c>
      <c r="I18" s="4" t="s">
        <v>24</v>
      </c>
      <c r="J18" s="6">
        <v>0.92506265664160414</v>
      </c>
      <c r="K18" s="6">
        <v>2.9002857142857146E-2</v>
      </c>
    </row>
    <row r="19" spans="2:11" x14ac:dyDescent="0.45">
      <c r="B19" s="24" t="s">
        <v>29</v>
      </c>
      <c r="C19" s="32">
        <v>1.0819451249387555</v>
      </c>
      <c r="D19" s="29">
        <v>4.8332740113389797E-2</v>
      </c>
      <c r="I19" s="4" t="s">
        <v>29</v>
      </c>
      <c r="J19" s="6">
        <v>1.0819451249387555</v>
      </c>
      <c r="K19" s="6">
        <v>4.8332740113389797E-2</v>
      </c>
    </row>
    <row r="20" spans="2:11" x14ac:dyDescent="0.45">
      <c r="B20" s="26" t="s">
        <v>47</v>
      </c>
      <c r="C20" s="30">
        <v>1.0027801710712687</v>
      </c>
      <c r="D20" s="30">
        <v>4.4803793568661737E-2</v>
      </c>
      <c r="I20" s="4" t="s">
        <v>47</v>
      </c>
      <c r="J20" s="6">
        <v>1.0027801710712687</v>
      </c>
      <c r="K20" s="6">
        <v>4.4803793568661737E-2</v>
      </c>
    </row>
    <row r="24" spans="2:11" ht="16.75" customHeight="1" x14ac:dyDescent="0.45">
      <c r="B24" s="27" t="s">
        <v>92</v>
      </c>
      <c r="C24" s="27" t="s">
        <v>9</v>
      </c>
      <c r="I24" s="3" t="s">
        <v>46</v>
      </c>
      <c r="J24" t="s">
        <v>48</v>
      </c>
    </row>
    <row r="25" spans="2:11" x14ac:dyDescent="0.45">
      <c r="B25" s="33" t="s">
        <v>22</v>
      </c>
      <c r="C25" s="34">
        <v>35.120000000000005</v>
      </c>
      <c r="I25" s="4" t="s">
        <v>22</v>
      </c>
      <c r="J25" s="6">
        <v>35.120000000000005</v>
      </c>
    </row>
    <row r="26" spans="2:11" x14ac:dyDescent="0.45">
      <c r="B26" s="35" t="s">
        <v>17</v>
      </c>
      <c r="C26" s="36">
        <v>35.120000000000005</v>
      </c>
      <c r="I26" s="7" t="s">
        <v>17</v>
      </c>
      <c r="J26" s="6">
        <v>35.120000000000005</v>
      </c>
    </row>
    <row r="27" spans="2:11" x14ac:dyDescent="0.45">
      <c r="B27" s="33" t="s">
        <v>29</v>
      </c>
      <c r="C27" s="34">
        <v>20.36</v>
      </c>
      <c r="I27" s="4" t="s">
        <v>29</v>
      </c>
      <c r="J27" s="6">
        <v>20.36</v>
      </c>
    </row>
    <row r="28" spans="2:11" x14ac:dyDescent="0.45">
      <c r="B28" s="35" t="s">
        <v>17</v>
      </c>
      <c r="C28" s="36">
        <v>16.39</v>
      </c>
      <c r="I28" s="7" t="s">
        <v>17</v>
      </c>
      <c r="J28" s="6">
        <v>16.39</v>
      </c>
    </row>
    <row r="29" spans="2:11" x14ac:dyDescent="0.45">
      <c r="B29" s="37" t="s">
        <v>12</v>
      </c>
      <c r="C29" s="38">
        <v>3.9699999999999998</v>
      </c>
      <c r="I29" s="7" t="s">
        <v>12</v>
      </c>
      <c r="J29" s="6">
        <v>3.9699999999999998</v>
      </c>
    </row>
    <row r="30" spans="2:11" x14ac:dyDescent="0.45">
      <c r="B30" s="33" t="s">
        <v>14</v>
      </c>
      <c r="C30" s="34">
        <v>19.340000000000003</v>
      </c>
      <c r="I30" s="4" t="s">
        <v>14</v>
      </c>
      <c r="J30" s="6">
        <v>19.340000000000003</v>
      </c>
    </row>
    <row r="31" spans="2:11" x14ac:dyDescent="0.45">
      <c r="B31" s="35" t="s">
        <v>17</v>
      </c>
      <c r="C31" s="36">
        <v>17.490000000000002</v>
      </c>
      <c r="I31" s="7" t="s">
        <v>17</v>
      </c>
      <c r="J31" s="6">
        <v>17.490000000000002</v>
      </c>
    </row>
    <row r="32" spans="2:11" x14ac:dyDescent="0.45">
      <c r="B32" s="37" t="s">
        <v>12</v>
      </c>
      <c r="C32" s="38">
        <v>1.85</v>
      </c>
      <c r="I32" s="7" t="s">
        <v>12</v>
      </c>
      <c r="J32" s="6">
        <v>1.85</v>
      </c>
    </row>
    <row r="33" spans="2:10" x14ac:dyDescent="0.45">
      <c r="B33" s="33" t="s">
        <v>24</v>
      </c>
      <c r="C33" s="34">
        <v>19.25</v>
      </c>
      <c r="I33" s="4" t="s">
        <v>24</v>
      </c>
      <c r="J33" s="6">
        <v>19.25</v>
      </c>
    </row>
    <row r="34" spans="2:10" x14ac:dyDescent="0.45">
      <c r="B34" s="35" t="s">
        <v>17</v>
      </c>
      <c r="C34" s="36">
        <v>13.19</v>
      </c>
      <c r="I34" s="7" t="s">
        <v>17</v>
      </c>
      <c r="J34" s="6">
        <v>13.19</v>
      </c>
    </row>
    <row r="35" spans="2:10" x14ac:dyDescent="0.45">
      <c r="B35" s="37" t="s">
        <v>12</v>
      </c>
      <c r="C35" s="38">
        <v>6.06</v>
      </c>
      <c r="I35" s="7" t="s">
        <v>12</v>
      </c>
      <c r="J35" s="6">
        <v>6.06</v>
      </c>
    </row>
    <row r="36" spans="2:10" x14ac:dyDescent="0.45">
      <c r="B36" s="26" t="s">
        <v>47</v>
      </c>
      <c r="C36" s="30">
        <v>94.070000000000007</v>
      </c>
      <c r="I36" s="4" t="s">
        <v>47</v>
      </c>
      <c r="J36" s="6">
        <v>94.070000000000007</v>
      </c>
    </row>
    <row r="39" spans="2:10" x14ac:dyDescent="0.45">
      <c r="B39" s="31" t="s">
        <v>94</v>
      </c>
      <c r="C39" s="31" t="s">
        <v>93</v>
      </c>
    </row>
    <row r="40" spans="2:10" x14ac:dyDescent="0.45">
      <c r="B40" s="39" t="s">
        <v>50</v>
      </c>
      <c r="C40" s="40">
        <v>66</v>
      </c>
      <c r="I40" s="3" t="s">
        <v>46</v>
      </c>
      <c r="J40" t="s">
        <v>96</v>
      </c>
    </row>
    <row r="41" spans="2:10" x14ac:dyDescent="0.45">
      <c r="B41" s="39" t="s">
        <v>54</v>
      </c>
      <c r="C41" s="40">
        <v>247</v>
      </c>
      <c r="I41" s="42" t="s">
        <v>50</v>
      </c>
      <c r="J41" s="41">
        <v>66</v>
      </c>
    </row>
    <row r="42" spans="2:10" x14ac:dyDescent="0.45">
      <c r="B42" s="39" t="s">
        <v>61</v>
      </c>
      <c r="C42" s="40">
        <v>153</v>
      </c>
      <c r="I42" s="42" t="s">
        <v>54</v>
      </c>
      <c r="J42" s="41">
        <v>247</v>
      </c>
    </row>
    <row r="43" spans="2:10" x14ac:dyDescent="0.45">
      <c r="B43" s="39" t="s">
        <v>56</v>
      </c>
      <c r="C43" s="40">
        <v>65</v>
      </c>
      <c r="I43" s="42" t="s">
        <v>61</v>
      </c>
      <c r="J43" s="41">
        <v>153</v>
      </c>
    </row>
    <row r="44" spans="2:10" x14ac:dyDescent="0.45">
      <c r="B44" s="39" t="s">
        <v>59</v>
      </c>
      <c r="C44" s="40">
        <v>196</v>
      </c>
      <c r="I44" s="42" t="s">
        <v>56</v>
      </c>
      <c r="J44" s="41">
        <v>65</v>
      </c>
    </row>
    <row r="45" spans="2:10" x14ac:dyDescent="0.45">
      <c r="B45" s="39" t="s">
        <v>52</v>
      </c>
      <c r="C45" s="40">
        <v>1013</v>
      </c>
      <c r="I45" s="42" t="s">
        <v>59</v>
      </c>
      <c r="J45" s="41">
        <v>196</v>
      </c>
    </row>
    <row r="46" spans="2:10" x14ac:dyDescent="0.45">
      <c r="B46" s="39" t="s">
        <v>67</v>
      </c>
      <c r="C46" s="40">
        <v>247</v>
      </c>
      <c r="I46" s="42" t="s">
        <v>52</v>
      </c>
      <c r="J46" s="41">
        <v>1013</v>
      </c>
    </row>
    <row r="47" spans="2:10" x14ac:dyDescent="0.45">
      <c r="B47" s="39" t="s">
        <v>66</v>
      </c>
      <c r="C47" s="40">
        <v>1013</v>
      </c>
      <c r="I47" s="42" t="s">
        <v>67</v>
      </c>
      <c r="J47" s="41">
        <v>247</v>
      </c>
    </row>
    <row r="48" spans="2:10" x14ac:dyDescent="0.45">
      <c r="B48" s="39" t="s">
        <v>49</v>
      </c>
      <c r="C48" s="40">
        <v>54</v>
      </c>
      <c r="I48" s="42" t="s">
        <v>66</v>
      </c>
      <c r="J48" s="41">
        <v>1013</v>
      </c>
    </row>
    <row r="49" spans="2:10" x14ac:dyDescent="0.45">
      <c r="B49" s="39" t="s">
        <v>62</v>
      </c>
      <c r="C49" s="40">
        <v>130</v>
      </c>
      <c r="I49" s="42" t="s">
        <v>49</v>
      </c>
      <c r="J49" s="41">
        <v>54</v>
      </c>
    </row>
    <row r="50" spans="2:10" x14ac:dyDescent="0.45">
      <c r="B50" s="39" t="s">
        <v>60</v>
      </c>
      <c r="C50" s="40">
        <v>166</v>
      </c>
      <c r="I50" s="42" t="s">
        <v>62</v>
      </c>
      <c r="J50" s="41">
        <v>130</v>
      </c>
    </row>
    <row r="51" spans="2:10" x14ac:dyDescent="0.45">
      <c r="B51" s="39" t="s">
        <v>57</v>
      </c>
      <c r="C51" s="40">
        <v>64</v>
      </c>
      <c r="I51" s="42" t="s">
        <v>60</v>
      </c>
      <c r="J51" s="41">
        <v>166</v>
      </c>
    </row>
    <row r="52" spans="2:10" x14ac:dyDescent="0.45">
      <c r="B52" s="39" t="s">
        <v>53</v>
      </c>
      <c r="C52" s="40">
        <v>1330</v>
      </c>
      <c r="I52" s="42" t="s">
        <v>57</v>
      </c>
      <c r="J52" s="41">
        <v>64</v>
      </c>
    </row>
    <row r="53" spans="2:10" x14ac:dyDescent="0.45">
      <c r="B53" s="39" t="s">
        <v>63</v>
      </c>
      <c r="C53" s="40">
        <v>274</v>
      </c>
      <c r="I53" s="42" t="s">
        <v>53</v>
      </c>
      <c r="J53" s="41">
        <v>1330</v>
      </c>
    </row>
    <row r="54" spans="2:10" x14ac:dyDescent="0.45">
      <c r="B54" s="39" t="s">
        <v>64</v>
      </c>
      <c r="C54" s="40">
        <v>36</v>
      </c>
      <c r="I54" s="42" t="s">
        <v>63</v>
      </c>
      <c r="J54" s="41">
        <v>274</v>
      </c>
    </row>
    <row r="55" spans="2:10" x14ac:dyDescent="0.45">
      <c r="B55" s="39" t="s">
        <v>65</v>
      </c>
      <c r="C55" s="40">
        <v>306</v>
      </c>
      <c r="E55" s="6"/>
      <c r="F55" s="6"/>
      <c r="I55" s="42" t="s">
        <v>64</v>
      </c>
      <c r="J55" s="41">
        <v>36</v>
      </c>
    </row>
    <row r="56" spans="2:10" x14ac:dyDescent="0.45">
      <c r="B56" s="39" t="s">
        <v>58</v>
      </c>
      <c r="C56" s="40">
        <v>143</v>
      </c>
      <c r="E56" s="6"/>
      <c r="F56" s="6"/>
      <c r="I56" s="42" t="s">
        <v>65</v>
      </c>
      <c r="J56" s="41">
        <v>306</v>
      </c>
    </row>
    <row r="57" spans="2:10" x14ac:dyDescent="0.45">
      <c r="B57" s="39" t="s">
        <v>55</v>
      </c>
      <c r="C57" s="40">
        <v>1740</v>
      </c>
      <c r="E57" s="6"/>
      <c r="F57" s="6"/>
      <c r="I57" s="42" t="s">
        <v>58</v>
      </c>
      <c r="J57" s="41">
        <v>143</v>
      </c>
    </row>
    <row r="58" spans="2:10" x14ac:dyDescent="0.45">
      <c r="B58" s="39" t="s">
        <v>51</v>
      </c>
      <c r="C58" s="40">
        <v>1106</v>
      </c>
      <c r="E58" s="6"/>
      <c r="F58" s="6"/>
      <c r="I58" s="42" t="s">
        <v>55</v>
      </c>
      <c r="J58" s="41">
        <v>1740</v>
      </c>
    </row>
    <row r="59" spans="2:10" x14ac:dyDescent="0.45">
      <c r="E59" s="6"/>
      <c r="F59" s="6"/>
      <c r="I59" s="42" t="s">
        <v>51</v>
      </c>
      <c r="J59" s="41">
        <v>1106</v>
      </c>
    </row>
    <row r="60" spans="2:10" x14ac:dyDescent="0.45">
      <c r="I60" s="4" t="s">
        <v>47</v>
      </c>
      <c r="J60" s="41">
        <v>8349</v>
      </c>
    </row>
  </sheetData>
  <phoneticPr fontId="3" type="noConversion"/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4BB1-AD7B-4250-B072-32B244896FED}">
  <sheetPr>
    <tabColor theme="6"/>
  </sheetPr>
  <dimension ref="A1:O46"/>
  <sheetViews>
    <sheetView zoomScale="59" zoomScaleNormal="59" workbookViewId="0">
      <selection activeCell="D12" sqref="D12"/>
    </sheetView>
  </sheetViews>
  <sheetFormatPr baseColWidth="10" defaultRowHeight="15.9" x14ac:dyDescent="0.45"/>
  <cols>
    <col min="2" max="2" width="83.5703125" bestFit="1" customWidth="1"/>
    <col min="3" max="4" width="17.0703125" customWidth="1"/>
    <col min="5" max="5" width="13.0703125" customWidth="1"/>
    <col min="6" max="6" width="22" customWidth="1"/>
    <col min="7" max="7" width="11.92578125" customWidth="1"/>
    <col min="8" max="8" width="19.92578125" customWidth="1"/>
    <col min="9" max="9" width="12.2109375" customWidth="1"/>
    <col min="10" max="10" width="29.78515625" customWidth="1"/>
    <col min="14" max="14" width="10.85546875" style="15"/>
  </cols>
  <sheetData>
    <row r="1" spans="1:15" x14ac:dyDescent="0.45">
      <c r="A1" s="8" t="s">
        <v>0</v>
      </c>
      <c r="B1" s="8" t="s">
        <v>1</v>
      </c>
      <c r="C1" s="9" t="s">
        <v>2</v>
      </c>
      <c r="D1" s="9" t="s">
        <v>97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14" t="s">
        <v>69</v>
      </c>
      <c r="O1" s="8" t="s">
        <v>70</v>
      </c>
    </row>
    <row r="2" spans="1:15" x14ac:dyDescent="0.45">
      <c r="A2" t="s">
        <v>17</v>
      </c>
      <c r="B2" t="s">
        <v>39</v>
      </c>
      <c r="C2" s="10" t="s">
        <v>64</v>
      </c>
      <c r="D2" s="43" t="s">
        <v>98</v>
      </c>
      <c r="E2">
        <v>1</v>
      </c>
      <c r="F2">
        <v>1</v>
      </c>
      <c r="G2">
        <v>5.0000000000000001E-3</v>
      </c>
      <c r="H2">
        <v>0</v>
      </c>
      <c r="I2" s="2">
        <v>2.0833333333333335E-4</v>
      </c>
      <c r="J2">
        <v>36</v>
      </c>
      <c r="K2">
        <v>2.78</v>
      </c>
      <c r="L2" t="s">
        <v>24</v>
      </c>
      <c r="M2">
        <v>444420</v>
      </c>
      <c r="N2" s="15">
        <f>Tabla1[[#This Row],[Views]]/Tabla1[[#This Row],[QTY Usuarios]]</f>
        <v>1</v>
      </c>
      <c r="O2" s="15">
        <f>Tabla1[[#This Row],[Watch Total time (hours)]]/Tabla1[[#This Row],[QTY Usuarios]]</f>
        <v>5.0000000000000001E-3</v>
      </c>
    </row>
    <row r="3" spans="1:15" x14ac:dyDescent="0.45">
      <c r="A3" t="s">
        <v>17</v>
      </c>
      <c r="B3" t="s">
        <v>30</v>
      </c>
      <c r="C3" s="10" t="s">
        <v>56</v>
      </c>
      <c r="D3" s="43" t="s">
        <v>99</v>
      </c>
      <c r="E3">
        <v>2</v>
      </c>
      <c r="F3">
        <v>2</v>
      </c>
      <c r="G3">
        <v>6.8999999999999999E-3</v>
      </c>
      <c r="H3">
        <v>0</v>
      </c>
      <c r="I3" s="2">
        <v>1.3888888888888889E-4</v>
      </c>
      <c r="J3">
        <v>65</v>
      </c>
      <c r="K3">
        <v>3.08</v>
      </c>
      <c r="L3" t="s">
        <v>14</v>
      </c>
      <c r="M3">
        <v>802425</v>
      </c>
      <c r="N3" s="15">
        <f>Tabla1[[#This Row],[Views]]/Tabla1[[#This Row],[QTY Usuarios]]</f>
        <v>1</v>
      </c>
      <c r="O3" s="15">
        <f>Tabla1[[#This Row],[Watch Total time (hours)]]/Tabla1[[#This Row],[QTY Usuarios]]</f>
        <v>3.4499999999999999E-3</v>
      </c>
    </row>
    <row r="4" spans="1:15" x14ac:dyDescent="0.45">
      <c r="A4" t="s">
        <v>17</v>
      </c>
      <c r="B4" t="s">
        <v>38</v>
      </c>
      <c r="C4" s="10" t="s">
        <v>63</v>
      </c>
      <c r="D4" s="43" t="s">
        <v>98</v>
      </c>
      <c r="E4">
        <v>34</v>
      </c>
      <c r="F4">
        <v>32</v>
      </c>
      <c r="G4">
        <v>0.81979999999999997</v>
      </c>
      <c r="H4">
        <v>0</v>
      </c>
      <c r="I4" s="2">
        <v>9.9537037037037042E-4</v>
      </c>
      <c r="J4">
        <v>274</v>
      </c>
      <c r="K4">
        <v>10.95</v>
      </c>
      <c r="L4" t="s">
        <v>22</v>
      </c>
      <c r="M4">
        <v>3382530</v>
      </c>
      <c r="N4" s="15">
        <f>Tabla1[[#This Row],[Views]]/Tabla1[[#This Row],[QTY Usuarios]]</f>
        <v>1.0625</v>
      </c>
      <c r="O4" s="15">
        <f>Tabla1[[#This Row],[Watch Total time (hours)]]/Tabla1[[#This Row],[QTY Usuarios]]</f>
        <v>2.5618749999999999E-2</v>
      </c>
    </row>
    <row r="5" spans="1:15" x14ac:dyDescent="0.45">
      <c r="A5" t="s">
        <v>17</v>
      </c>
      <c r="B5" t="s">
        <v>31</v>
      </c>
      <c r="C5" s="10" t="s">
        <v>57</v>
      </c>
      <c r="D5" s="43" t="s">
        <v>99</v>
      </c>
      <c r="E5">
        <v>4</v>
      </c>
      <c r="F5">
        <v>4</v>
      </c>
      <c r="G5">
        <v>0.38719999999999999</v>
      </c>
      <c r="H5">
        <v>0</v>
      </c>
      <c r="I5" s="2">
        <v>4.0277777777777777E-3</v>
      </c>
      <c r="J5">
        <v>64</v>
      </c>
      <c r="K5">
        <v>3.13</v>
      </c>
      <c r="L5" t="s">
        <v>29</v>
      </c>
      <c r="M5">
        <v>790080</v>
      </c>
      <c r="N5" s="15">
        <f>Tabla1[[#This Row],[Views]]/Tabla1[[#This Row],[QTY Usuarios]]</f>
        <v>1</v>
      </c>
      <c r="O5" s="15">
        <f>Tabla1[[#This Row],[Watch Total time (hours)]]/Tabla1[[#This Row],[QTY Usuarios]]</f>
        <v>9.6799999999999997E-2</v>
      </c>
    </row>
    <row r="6" spans="1:15" x14ac:dyDescent="0.45">
      <c r="A6" t="s">
        <v>17</v>
      </c>
      <c r="B6" t="s">
        <v>21</v>
      </c>
      <c r="C6" s="10" t="s">
        <v>50</v>
      </c>
      <c r="D6" s="43" t="s">
        <v>100</v>
      </c>
      <c r="E6">
        <v>1</v>
      </c>
      <c r="F6">
        <v>1</v>
      </c>
      <c r="G6">
        <v>0.106</v>
      </c>
      <c r="H6">
        <v>0</v>
      </c>
      <c r="I6" s="2">
        <v>4.409722222222222E-3</v>
      </c>
      <c r="J6">
        <v>66</v>
      </c>
      <c r="K6">
        <v>1.52</v>
      </c>
      <c r="L6" t="s">
        <v>22</v>
      </c>
      <c r="M6">
        <v>814770</v>
      </c>
      <c r="N6" s="15">
        <f>Tabla1[[#This Row],[Views]]/Tabla1[[#This Row],[QTY Usuarios]]</f>
        <v>1</v>
      </c>
      <c r="O6" s="15">
        <f>Tabla1[[#This Row],[Watch Total time (hours)]]/Tabla1[[#This Row],[QTY Usuarios]]</f>
        <v>0.106</v>
      </c>
    </row>
    <row r="7" spans="1:15" x14ac:dyDescent="0.45">
      <c r="A7" t="s">
        <v>12</v>
      </c>
      <c r="B7" t="s">
        <v>40</v>
      </c>
      <c r="C7" s="10" t="s">
        <v>65</v>
      </c>
      <c r="D7" s="43" t="s">
        <v>101</v>
      </c>
      <c r="E7">
        <v>14</v>
      </c>
      <c r="F7">
        <v>13</v>
      </c>
      <c r="G7">
        <v>0.22040000000000001</v>
      </c>
      <c r="H7">
        <v>0</v>
      </c>
      <c r="I7" s="2">
        <v>6.4814814814814813E-4</v>
      </c>
      <c r="J7">
        <v>306</v>
      </c>
      <c r="K7">
        <v>3.27</v>
      </c>
      <c r="L7" t="s">
        <v>29</v>
      </c>
      <c r="M7">
        <v>3777570</v>
      </c>
      <c r="N7" s="15">
        <f>Tabla1[[#This Row],[Views]]/Tabla1[[#This Row],[QTY Usuarios]]</f>
        <v>1.0769230769230769</v>
      </c>
      <c r="O7" s="15">
        <f>Tabla1[[#This Row],[Watch Total time (hours)]]/Tabla1[[#This Row],[QTY Usuarios]]</f>
        <v>1.6953846153846156E-2</v>
      </c>
    </row>
    <row r="8" spans="1:15" x14ac:dyDescent="0.45">
      <c r="A8" t="s">
        <v>12</v>
      </c>
      <c r="B8" t="s">
        <v>32</v>
      </c>
      <c r="C8" s="10" t="s">
        <v>58</v>
      </c>
      <c r="D8" s="43" t="s">
        <v>102</v>
      </c>
      <c r="E8">
        <v>5</v>
      </c>
      <c r="F8">
        <v>5</v>
      </c>
      <c r="G8">
        <v>2.46E-2</v>
      </c>
      <c r="H8">
        <v>0</v>
      </c>
      <c r="I8" s="2">
        <v>1.9675925925925926E-4</v>
      </c>
      <c r="J8">
        <v>143</v>
      </c>
      <c r="K8">
        <v>0.7</v>
      </c>
      <c r="L8" t="s">
        <v>29</v>
      </c>
      <c r="M8">
        <v>1765335</v>
      </c>
      <c r="N8" s="15">
        <f>Tabla1[[#This Row],[Views]]/Tabla1[[#This Row],[QTY Usuarios]]</f>
        <v>1</v>
      </c>
      <c r="O8" s="15">
        <f>Tabla1[[#This Row],[Watch Total time (hours)]]/Tabla1[[#This Row],[QTY Usuarios]]</f>
        <v>4.9199999999999999E-3</v>
      </c>
    </row>
    <row r="9" spans="1:15" x14ac:dyDescent="0.45">
      <c r="A9" t="s">
        <v>12</v>
      </c>
      <c r="B9" t="s">
        <v>33</v>
      </c>
      <c r="C9" s="10" t="s">
        <v>59</v>
      </c>
      <c r="D9" s="43" t="s">
        <v>102</v>
      </c>
      <c r="E9">
        <v>6</v>
      </c>
      <c r="F9">
        <v>10</v>
      </c>
      <c r="G9">
        <v>0.22259999999999999</v>
      </c>
      <c r="H9">
        <v>1</v>
      </c>
      <c r="I9" s="2">
        <v>1.5393518518518519E-3</v>
      </c>
      <c r="J9">
        <v>196</v>
      </c>
      <c r="K9">
        <v>2.5499999999999998</v>
      </c>
      <c r="L9" t="s">
        <v>24</v>
      </c>
      <c r="M9">
        <v>2419620</v>
      </c>
      <c r="N9" s="15">
        <f>Tabla1[[#This Row],[Views]]/Tabla1[[#This Row],[QTY Usuarios]]</f>
        <v>0.6</v>
      </c>
      <c r="O9" s="15">
        <f>Tabla1[[#This Row],[Watch Total time (hours)]]/Tabla1[[#This Row],[QTY Usuarios]]</f>
        <v>2.2259999999999999E-2</v>
      </c>
    </row>
    <row r="10" spans="1:15" x14ac:dyDescent="0.45">
      <c r="A10" t="s">
        <v>12</v>
      </c>
      <c r="B10" t="s">
        <v>37</v>
      </c>
      <c r="C10" s="10" t="s">
        <v>62</v>
      </c>
      <c r="D10" s="43" t="s">
        <v>101</v>
      </c>
      <c r="E10">
        <v>4</v>
      </c>
      <c r="F10">
        <v>4</v>
      </c>
      <c r="G10">
        <v>2.35E-2</v>
      </c>
      <c r="H10">
        <v>0</v>
      </c>
      <c r="I10" s="2">
        <v>2.4305555555555555E-4</v>
      </c>
      <c r="J10">
        <v>130</v>
      </c>
      <c r="K10">
        <v>2.31</v>
      </c>
      <c r="L10" t="s">
        <v>24</v>
      </c>
      <c r="M10">
        <v>1604850</v>
      </c>
      <c r="N10" s="15">
        <f>Tabla1[[#This Row],[Views]]/Tabla1[[#This Row],[QTY Usuarios]]</f>
        <v>1</v>
      </c>
      <c r="O10" s="15">
        <f>Tabla1[[#This Row],[Watch Total time (hours)]]/Tabla1[[#This Row],[QTY Usuarios]]</f>
        <v>5.875E-3</v>
      </c>
    </row>
    <row r="11" spans="1:15" x14ac:dyDescent="0.45">
      <c r="A11" t="s">
        <v>12</v>
      </c>
      <c r="B11" t="s">
        <v>34</v>
      </c>
      <c r="C11" s="10" t="s">
        <v>60</v>
      </c>
      <c r="D11" s="43" t="s">
        <v>102</v>
      </c>
      <c r="E11">
        <v>4</v>
      </c>
      <c r="F11">
        <v>5</v>
      </c>
      <c r="G11">
        <v>2.4500000000000001E-2</v>
      </c>
      <c r="H11">
        <v>0</v>
      </c>
      <c r="I11" s="2">
        <v>2.5462962962962961E-4</v>
      </c>
      <c r="J11">
        <v>166</v>
      </c>
      <c r="K11">
        <v>1.2</v>
      </c>
      <c r="L11" t="s">
        <v>24</v>
      </c>
      <c r="M11">
        <v>2049270</v>
      </c>
      <c r="N11" s="15">
        <f>Tabla1[[#This Row],[Views]]/Tabla1[[#This Row],[QTY Usuarios]]</f>
        <v>0.8</v>
      </c>
      <c r="O11" s="15">
        <f>Tabla1[[#This Row],[Watch Total time (hours)]]/Tabla1[[#This Row],[QTY Usuarios]]</f>
        <v>4.8999999999999998E-3</v>
      </c>
    </row>
    <row r="12" spans="1:15" x14ac:dyDescent="0.45">
      <c r="A12" t="s">
        <v>17</v>
      </c>
      <c r="B12" t="s">
        <v>35</v>
      </c>
      <c r="C12" s="10" t="s">
        <v>61</v>
      </c>
      <c r="D12" s="43" t="s">
        <v>103</v>
      </c>
      <c r="E12">
        <v>22</v>
      </c>
      <c r="F12">
        <v>21</v>
      </c>
      <c r="G12">
        <v>0.64349999999999996</v>
      </c>
      <c r="H12">
        <v>0</v>
      </c>
      <c r="I12" s="2">
        <v>1.2152777777777778E-3</v>
      </c>
      <c r="J12">
        <v>153</v>
      </c>
      <c r="K12">
        <v>9.15</v>
      </c>
      <c r="L12" t="s">
        <v>14</v>
      </c>
      <c r="M12">
        <v>1888785</v>
      </c>
      <c r="N12" s="15">
        <f>Tabla1[[#This Row],[Views]]/Tabla1[[#This Row],[QTY Usuarios]]</f>
        <v>1.0476190476190477</v>
      </c>
      <c r="O12" s="15">
        <f>Tabla1[[#This Row],[Watch Total time (hours)]]/Tabla1[[#This Row],[QTY Usuarios]]</f>
        <v>3.0642857142857142E-2</v>
      </c>
    </row>
    <row r="13" spans="1:15" x14ac:dyDescent="0.45">
      <c r="A13" t="s">
        <v>17</v>
      </c>
      <c r="B13" t="s">
        <v>23</v>
      </c>
      <c r="C13" s="10" t="s">
        <v>51</v>
      </c>
      <c r="D13" s="43" t="s">
        <v>100</v>
      </c>
      <c r="E13">
        <v>82</v>
      </c>
      <c r="F13">
        <v>76</v>
      </c>
      <c r="G13">
        <v>2.242</v>
      </c>
      <c r="H13">
        <v>0</v>
      </c>
      <c r="I13" s="2">
        <v>1.1342592592592593E-3</v>
      </c>
      <c r="J13">
        <v>1106</v>
      </c>
      <c r="K13">
        <v>5.15</v>
      </c>
      <c r="L13" t="s">
        <v>24</v>
      </c>
      <c r="M13">
        <v>13653570</v>
      </c>
      <c r="N13" s="15">
        <f>Tabla1[[#This Row],[Views]]/Tabla1[[#This Row],[QTY Usuarios]]</f>
        <v>1.0789473684210527</v>
      </c>
      <c r="O13" s="15">
        <f>Tabla1[[#This Row],[Watch Total time (hours)]]/Tabla1[[#This Row],[QTY Usuarios]]</f>
        <v>2.9499999999999998E-2</v>
      </c>
    </row>
    <row r="14" spans="1:15" x14ac:dyDescent="0.45">
      <c r="A14" t="s">
        <v>17</v>
      </c>
      <c r="B14" t="s">
        <v>25</v>
      </c>
      <c r="C14" s="10" t="s">
        <v>52</v>
      </c>
      <c r="D14" s="43" t="s">
        <v>100</v>
      </c>
      <c r="E14">
        <v>115</v>
      </c>
      <c r="F14">
        <v>107</v>
      </c>
      <c r="G14">
        <v>8.3785000000000007</v>
      </c>
      <c r="H14">
        <v>2</v>
      </c>
      <c r="I14" s="2">
        <v>3.0324074074074073E-3</v>
      </c>
      <c r="J14">
        <v>1013</v>
      </c>
      <c r="K14">
        <v>8.49</v>
      </c>
      <c r="L14" t="s">
        <v>22</v>
      </c>
      <c r="M14">
        <v>12505485</v>
      </c>
      <c r="N14" s="15">
        <f>Tabla1[[#This Row],[Views]]/Tabla1[[#This Row],[QTY Usuarios]]</f>
        <v>1.0747663551401869</v>
      </c>
      <c r="O14" s="15">
        <f>Tabla1[[#This Row],[Watch Total time (hours)]]/Tabla1[[#This Row],[QTY Usuarios]]</f>
        <v>7.8303738317757013E-2</v>
      </c>
    </row>
    <row r="15" spans="1:15" x14ac:dyDescent="0.45">
      <c r="A15" t="s">
        <v>17</v>
      </c>
      <c r="B15" t="s">
        <v>42</v>
      </c>
      <c r="C15" s="10" t="s">
        <v>66</v>
      </c>
      <c r="D15" s="43" t="s">
        <v>100</v>
      </c>
      <c r="E15">
        <v>123</v>
      </c>
      <c r="F15">
        <v>107</v>
      </c>
      <c r="G15">
        <v>8.3785000000000007</v>
      </c>
      <c r="H15">
        <v>2</v>
      </c>
      <c r="I15" s="2">
        <v>3.0324074074074073E-3</v>
      </c>
      <c r="J15">
        <v>1013</v>
      </c>
      <c r="K15">
        <v>8.49</v>
      </c>
      <c r="L15" t="s">
        <v>22</v>
      </c>
      <c r="M15">
        <v>12505485</v>
      </c>
      <c r="N15" s="15">
        <f>Tabla1[[#This Row],[Views]]/Tabla1[[#This Row],[QTY Usuarios]]</f>
        <v>1.1495327102803738</v>
      </c>
      <c r="O15" s="15">
        <f>Tabla1[[#This Row],[Watch Total time (hours)]]/Tabla1[[#This Row],[QTY Usuarios]]</f>
        <v>7.8303738317757013E-2</v>
      </c>
    </row>
    <row r="16" spans="1:15" x14ac:dyDescent="0.45">
      <c r="A16" t="s">
        <v>17</v>
      </c>
      <c r="B16" t="s">
        <v>26</v>
      </c>
      <c r="C16" s="10" t="s">
        <v>53</v>
      </c>
      <c r="D16" s="43" t="s">
        <v>100</v>
      </c>
      <c r="E16">
        <v>60</v>
      </c>
      <c r="F16">
        <v>56</v>
      </c>
      <c r="G16">
        <v>5.9630000000000001</v>
      </c>
      <c r="H16">
        <v>0</v>
      </c>
      <c r="I16" s="2">
        <v>4.1319444444444442E-3</v>
      </c>
      <c r="J16">
        <v>665</v>
      </c>
      <c r="K16">
        <v>5.26</v>
      </c>
      <c r="L16" t="s">
        <v>24</v>
      </c>
      <c r="M16">
        <v>8209425</v>
      </c>
      <c r="N16" s="15">
        <f>Tabla1[[#This Row],[Views]]/Tabla1[[#This Row],[QTY Usuarios]]</f>
        <v>1.0714285714285714</v>
      </c>
      <c r="O16" s="15">
        <f>Tabla1[[#This Row],[Watch Total time (hours)]]/Tabla1[[#This Row],[QTY Usuarios]]</f>
        <v>0.10648214285714286</v>
      </c>
    </row>
    <row r="17" spans="1:15" x14ac:dyDescent="0.45">
      <c r="A17" t="s">
        <v>17</v>
      </c>
      <c r="B17" t="s">
        <v>43</v>
      </c>
      <c r="C17" s="10" t="s">
        <v>53</v>
      </c>
      <c r="D17" s="43" t="s">
        <v>100</v>
      </c>
      <c r="E17">
        <v>60</v>
      </c>
      <c r="F17">
        <v>87</v>
      </c>
      <c r="G17">
        <v>5.9630000000000001</v>
      </c>
      <c r="H17">
        <v>0</v>
      </c>
      <c r="I17" s="2">
        <v>4.1319444444444442E-3</v>
      </c>
      <c r="J17">
        <v>665</v>
      </c>
      <c r="K17">
        <v>5.26</v>
      </c>
      <c r="L17" t="s">
        <v>14</v>
      </c>
      <c r="M17">
        <v>8209425</v>
      </c>
      <c r="N17" s="15">
        <f>Tabla1[[#This Row],[Views]]/Tabla1[[#This Row],[QTY Usuarios]]</f>
        <v>0.68965517241379315</v>
      </c>
      <c r="O17" s="15">
        <f>Tabla1[[#This Row],[Watch Total time (hours)]]/Tabla1[[#This Row],[QTY Usuarios]]</f>
        <v>6.8540229885057466E-2</v>
      </c>
    </row>
    <row r="18" spans="1:15" x14ac:dyDescent="0.45">
      <c r="A18" t="s">
        <v>17</v>
      </c>
      <c r="B18" t="s">
        <v>27</v>
      </c>
      <c r="C18" s="10" t="s">
        <v>54</v>
      </c>
      <c r="D18" s="43" t="s">
        <v>99</v>
      </c>
      <c r="E18">
        <v>30</v>
      </c>
      <c r="F18">
        <v>28</v>
      </c>
      <c r="G18">
        <v>2.3978000000000002</v>
      </c>
      <c r="H18">
        <v>0</v>
      </c>
      <c r="I18" s="2">
        <v>3.3217592592592591E-3</v>
      </c>
      <c r="J18">
        <v>247</v>
      </c>
      <c r="K18">
        <v>5.67</v>
      </c>
      <c r="L18" t="s">
        <v>22</v>
      </c>
      <c r="M18">
        <v>3049215</v>
      </c>
      <c r="N18" s="15">
        <f>Tabla1[[#This Row],[Views]]/Tabla1[[#This Row],[QTY Usuarios]]</f>
        <v>1.0714285714285714</v>
      </c>
      <c r="O18" s="15">
        <f>Tabla1[[#This Row],[Watch Total time (hours)]]/Tabla1[[#This Row],[QTY Usuarios]]</f>
        <v>8.5635714285714287E-2</v>
      </c>
    </row>
    <row r="19" spans="1:15" x14ac:dyDescent="0.45">
      <c r="A19" t="s">
        <v>17</v>
      </c>
      <c r="B19" t="s">
        <v>27</v>
      </c>
      <c r="C19" s="10" t="s">
        <v>67</v>
      </c>
      <c r="D19" s="43" t="s">
        <v>104</v>
      </c>
      <c r="E19">
        <v>35</v>
      </c>
      <c r="F19">
        <v>28</v>
      </c>
      <c r="G19">
        <v>2.3978000000000002</v>
      </c>
      <c r="H19">
        <v>0</v>
      </c>
      <c r="I19" s="2">
        <v>3.3217592592592591E-3</v>
      </c>
      <c r="J19">
        <v>247</v>
      </c>
      <c r="K19">
        <v>5.67</v>
      </c>
      <c r="L19" t="s">
        <v>29</v>
      </c>
      <c r="M19">
        <v>3049215</v>
      </c>
      <c r="N19" s="15">
        <f>Tabla1[[#This Row],[Views]]/Tabla1[[#This Row],[QTY Usuarios]]</f>
        <v>1.25</v>
      </c>
      <c r="O19" s="15">
        <f>Tabla1[[#This Row],[Watch Total time (hours)]]/Tabla1[[#This Row],[QTY Usuarios]]</f>
        <v>8.5635714285714287E-2</v>
      </c>
    </row>
    <row r="20" spans="1:15" x14ac:dyDescent="0.45">
      <c r="A20" t="s">
        <v>17</v>
      </c>
      <c r="B20" t="s">
        <v>28</v>
      </c>
      <c r="C20" s="10" t="s">
        <v>55</v>
      </c>
      <c r="D20" s="43" t="s">
        <v>99</v>
      </c>
      <c r="E20">
        <v>170</v>
      </c>
      <c r="F20">
        <v>157</v>
      </c>
      <c r="G20">
        <v>5.8646000000000003</v>
      </c>
      <c r="H20">
        <v>0</v>
      </c>
      <c r="I20" s="2">
        <v>1.4351851851851852E-3</v>
      </c>
      <c r="J20">
        <v>1740</v>
      </c>
      <c r="K20">
        <v>7.59</v>
      </c>
      <c r="L20" t="s">
        <v>29</v>
      </c>
      <c r="M20">
        <v>21480300</v>
      </c>
      <c r="N20" s="15">
        <f>Tabla1[[#This Row],[Views]]/Tabla1[[#This Row],[QTY Usuarios]]</f>
        <v>1.0828025477707006</v>
      </c>
      <c r="O20" s="15">
        <f>Tabla1[[#This Row],[Watch Total time (hours)]]/Tabla1[[#This Row],[QTY Usuarios]]</f>
        <v>3.7354140127388538E-2</v>
      </c>
    </row>
    <row r="21" spans="1:15" x14ac:dyDescent="0.45">
      <c r="A21" t="s">
        <v>12</v>
      </c>
      <c r="B21" t="s">
        <v>13</v>
      </c>
      <c r="C21" s="10" t="s">
        <v>49</v>
      </c>
      <c r="D21" s="43" t="s">
        <v>105</v>
      </c>
      <c r="E21">
        <v>1</v>
      </c>
      <c r="F21">
        <v>1</v>
      </c>
      <c r="G21">
        <v>3.8999999999999998E-3</v>
      </c>
      <c r="H21">
        <v>0</v>
      </c>
      <c r="I21" s="2">
        <v>1.5046296296296297E-4</v>
      </c>
      <c r="J21">
        <v>54</v>
      </c>
      <c r="K21">
        <v>1.85</v>
      </c>
      <c r="L21" t="s">
        <v>14</v>
      </c>
      <c r="M21">
        <v>666630</v>
      </c>
      <c r="N21" s="15">
        <f>Tabla1[[#This Row],[Views]]/Tabla1[[#This Row],[QTY Usuarios]]</f>
        <v>1</v>
      </c>
      <c r="O21" s="15">
        <f>Tabla1[[#This Row],[Watch Total time (hours)]]/Tabla1[[#This Row],[QTY Usuarios]]</f>
        <v>3.8999999999999998E-3</v>
      </c>
    </row>
    <row r="27" spans="1:15" x14ac:dyDescent="0.45">
      <c r="C27">
        <v>27</v>
      </c>
      <c r="D27">
        <v>8</v>
      </c>
      <c r="E27">
        <v>2022</v>
      </c>
      <c r="G27" s="10" t="str">
        <f>_xlfn.CONCAT(D27,"-",E27)</f>
        <v>8-2022</v>
      </c>
    </row>
    <row r="28" spans="1:15" x14ac:dyDescent="0.45">
      <c r="C28">
        <v>15</v>
      </c>
      <c r="D28">
        <v>11</v>
      </c>
      <c r="E28">
        <v>2022</v>
      </c>
      <c r="G28" s="10" t="str">
        <f>_xlfn.CONCAT(D28,"-",E28)</f>
        <v>11-2022</v>
      </c>
    </row>
    <row r="29" spans="1:15" x14ac:dyDescent="0.45">
      <c r="C29">
        <v>25</v>
      </c>
      <c r="D29">
        <v>8</v>
      </c>
      <c r="E29">
        <v>2022</v>
      </c>
      <c r="G29" s="10" t="str">
        <f>_xlfn.CONCAT(D29,"-",E29)</f>
        <v>8-2022</v>
      </c>
    </row>
    <row r="30" spans="1:15" x14ac:dyDescent="0.45">
      <c r="C30">
        <v>23</v>
      </c>
      <c r="D30">
        <v>11</v>
      </c>
      <c r="E30">
        <v>2022</v>
      </c>
      <c r="G30" s="10" t="str">
        <f>_xlfn.CONCAT(D30,"-",E30)</f>
        <v>11-2022</v>
      </c>
    </row>
    <row r="31" spans="1:15" x14ac:dyDescent="0.45">
      <c r="C31">
        <v>1</v>
      </c>
      <c r="D31">
        <v>10</v>
      </c>
      <c r="E31">
        <v>2022</v>
      </c>
      <c r="G31" s="10" t="str">
        <f>_xlfn.CONCAT(D31,"-",E31)</f>
        <v>10-2022</v>
      </c>
    </row>
    <row r="32" spans="1:15" x14ac:dyDescent="0.45">
      <c r="C32">
        <v>30</v>
      </c>
      <c r="D32">
        <v>4</v>
      </c>
      <c r="E32">
        <v>2023</v>
      </c>
      <c r="G32" s="10" t="str">
        <f>_xlfn.CONCAT(D32,"-",E32)</f>
        <v>4-2023</v>
      </c>
    </row>
    <row r="33" spans="3:7" x14ac:dyDescent="0.45">
      <c r="C33">
        <v>7</v>
      </c>
      <c r="D33">
        <v>5</v>
      </c>
      <c r="E33">
        <v>2023</v>
      </c>
      <c r="G33" s="10" t="str">
        <f>_xlfn.CONCAT(D33,"-",E33)</f>
        <v>5-2023</v>
      </c>
    </row>
    <row r="34" spans="3:7" x14ac:dyDescent="0.45">
      <c r="C34">
        <v>15</v>
      </c>
      <c r="D34">
        <v>5</v>
      </c>
      <c r="E34">
        <v>2023</v>
      </c>
      <c r="G34" s="10" t="str">
        <f>_xlfn.CONCAT(D34,"-",E34)</f>
        <v>5-2023</v>
      </c>
    </row>
    <row r="35" spans="3:7" x14ac:dyDescent="0.45">
      <c r="C35">
        <v>20</v>
      </c>
      <c r="D35">
        <v>4</v>
      </c>
      <c r="E35">
        <v>2023</v>
      </c>
      <c r="G35" s="10" t="str">
        <f>_xlfn.CONCAT(D35,"-",E35)</f>
        <v>4-2023</v>
      </c>
    </row>
    <row r="36" spans="3:7" x14ac:dyDescent="0.45">
      <c r="C36">
        <v>21</v>
      </c>
      <c r="D36">
        <v>5</v>
      </c>
      <c r="E36">
        <v>2023</v>
      </c>
      <c r="G36" s="10" t="str">
        <f>_xlfn.CONCAT(D36,"-",E36)</f>
        <v>5-2023</v>
      </c>
    </row>
    <row r="37" spans="3:7" x14ac:dyDescent="0.45">
      <c r="C37">
        <v>11</v>
      </c>
      <c r="D37">
        <v>4</v>
      </c>
      <c r="E37">
        <v>2022</v>
      </c>
      <c r="G37" s="10" t="str">
        <f>_xlfn.CONCAT(D37,"-",E37)</f>
        <v>4-2022</v>
      </c>
    </row>
    <row r="38" spans="3:7" x14ac:dyDescent="0.45">
      <c r="C38">
        <v>9</v>
      </c>
      <c r="D38">
        <v>10</v>
      </c>
      <c r="E38">
        <v>2022</v>
      </c>
      <c r="G38" s="10" t="str">
        <f>_xlfn.CONCAT(D38,"-",E38)</f>
        <v>10-2022</v>
      </c>
    </row>
    <row r="39" spans="3:7" x14ac:dyDescent="0.45">
      <c r="C39">
        <v>16</v>
      </c>
      <c r="D39">
        <v>10</v>
      </c>
      <c r="E39">
        <v>2022</v>
      </c>
      <c r="G39" s="10" t="str">
        <f>_xlfn.CONCAT(D39,"-",E39)</f>
        <v>10-2022</v>
      </c>
    </row>
    <row r="40" spans="3:7" x14ac:dyDescent="0.45">
      <c r="C40">
        <v>19</v>
      </c>
      <c r="D40">
        <v>10</v>
      </c>
      <c r="E40">
        <v>2022</v>
      </c>
      <c r="G40" s="10" t="str">
        <f>_xlfn.CONCAT(D40,"-",E40)</f>
        <v>10-2022</v>
      </c>
    </row>
    <row r="41" spans="3:7" x14ac:dyDescent="0.45">
      <c r="C41">
        <v>25</v>
      </c>
      <c r="D41">
        <v>10</v>
      </c>
      <c r="E41">
        <v>2022</v>
      </c>
      <c r="G41" s="10" t="str">
        <f>_xlfn.CONCAT(D41,"-",E41)</f>
        <v>10-2022</v>
      </c>
    </row>
    <row r="42" spans="3:7" x14ac:dyDescent="0.45">
      <c r="C42">
        <v>25</v>
      </c>
      <c r="D42">
        <v>10</v>
      </c>
      <c r="E42">
        <v>2022</v>
      </c>
      <c r="G42" s="10" t="str">
        <f>_xlfn.CONCAT(D42,"-",E42)</f>
        <v>10-2022</v>
      </c>
    </row>
    <row r="43" spans="3:7" x14ac:dyDescent="0.45">
      <c r="C43">
        <v>1</v>
      </c>
      <c r="D43">
        <v>11</v>
      </c>
      <c r="E43">
        <v>2022</v>
      </c>
      <c r="G43" s="10" t="str">
        <f>_xlfn.CONCAT(D43,"-",E43)</f>
        <v>11-2022</v>
      </c>
    </row>
    <row r="44" spans="3:7" x14ac:dyDescent="0.45">
      <c r="C44">
        <v>19</v>
      </c>
      <c r="D44">
        <v>1</v>
      </c>
      <c r="E44">
        <v>2023</v>
      </c>
      <c r="G44" s="10" t="str">
        <f>_xlfn.CONCAT(D44,"-",E44)</f>
        <v>1-2023</v>
      </c>
    </row>
    <row r="45" spans="3:7" x14ac:dyDescent="0.45">
      <c r="C45">
        <v>8</v>
      </c>
      <c r="D45">
        <v>11</v>
      </c>
      <c r="E45">
        <v>2022</v>
      </c>
      <c r="G45" s="10" t="str">
        <f>_xlfn.CONCAT(D45,"-",E45)</f>
        <v>11-2022</v>
      </c>
    </row>
    <row r="46" spans="3:7" x14ac:dyDescent="0.45">
      <c r="C46">
        <v>19</v>
      </c>
      <c r="D46">
        <v>7</v>
      </c>
      <c r="E46">
        <v>2022</v>
      </c>
      <c r="G46" s="10" t="str">
        <f>_xlfn.CONCAT(D46,"-",E46)</f>
        <v>7-2022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A4CF-5997-4EE9-9C7D-4AF1267356DA}">
  <sheetPr>
    <tabColor theme="6"/>
  </sheetPr>
  <dimension ref="A1:L27"/>
  <sheetViews>
    <sheetView zoomScale="85" zoomScaleNormal="85" workbookViewId="0">
      <selection activeCell="B29" sqref="B29"/>
    </sheetView>
  </sheetViews>
  <sheetFormatPr baseColWidth="10" defaultRowHeight="15.9" x14ac:dyDescent="0.45"/>
  <cols>
    <col min="2" max="2" width="94" customWidth="1"/>
    <col min="3" max="3" width="17.0703125" customWidth="1"/>
    <col min="5" max="5" width="13.0703125" customWidth="1"/>
    <col min="6" max="6" width="22" customWidth="1"/>
    <col min="7" max="7" width="11.92578125" customWidth="1"/>
    <col min="8" max="8" width="19.92578125" customWidth="1"/>
    <col min="9" max="9" width="12.2109375" customWidth="1"/>
    <col min="10" max="10" width="29.78515625" customWidth="1"/>
  </cols>
  <sheetData>
    <row r="1" spans="1:12" s="8" customForma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45">
      <c r="A2" t="s">
        <v>17</v>
      </c>
      <c r="B2" t="s">
        <v>39</v>
      </c>
      <c r="C2" s="1">
        <v>44800</v>
      </c>
      <c r="D2">
        <v>1</v>
      </c>
      <c r="E2">
        <v>1</v>
      </c>
      <c r="F2">
        <v>5.0000000000000001E-3</v>
      </c>
      <c r="G2">
        <v>0</v>
      </c>
      <c r="H2" s="2">
        <v>2.0833333333333335E-4</v>
      </c>
      <c r="I2">
        <v>36</v>
      </c>
      <c r="J2">
        <v>2.78</v>
      </c>
      <c r="K2" t="s">
        <v>24</v>
      </c>
      <c r="L2">
        <v>444420</v>
      </c>
    </row>
    <row r="3" spans="1:12" x14ac:dyDescent="0.45">
      <c r="A3" t="s">
        <v>15</v>
      </c>
      <c r="B3" t="s">
        <v>16</v>
      </c>
      <c r="C3" s="1">
        <v>44766</v>
      </c>
    </row>
    <row r="4" spans="1:12" x14ac:dyDescent="0.45">
      <c r="A4" t="s">
        <v>17</v>
      </c>
      <c r="B4" t="s">
        <v>18</v>
      </c>
      <c r="C4" s="1">
        <v>44809</v>
      </c>
    </row>
    <row r="5" spans="1:12" x14ac:dyDescent="0.45">
      <c r="A5" t="s">
        <v>19</v>
      </c>
      <c r="B5" t="s">
        <v>20</v>
      </c>
      <c r="C5" s="1">
        <v>44818</v>
      </c>
    </row>
    <row r="6" spans="1:12" x14ac:dyDescent="0.45">
      <c r="A6" t="s">
        <v>17</v>
      </c>
      <c r="B6" t="s">
        <v>41</v>
      </c>
      <c r="C6" s="1">
        <v>44779</v>
      </c>
      <c r="D6">
        <v>1</v>
      </c>
      <c r="E6">
        <v>1</v>
      </c>
      <c r="F6">
        <v>2.0000000000000001E-4</v>
      </c>
      <c r="H6" s="2">
        <v>0</v>
      </c>
      <c r="I6">
        <v>44</v>
      </c>
      <c r="J6">
        <v>0</v>
      </c>
      <c r="K6" t="s">
        <v>14</v>
      </c>
      <c r="L6">
        <v>543180</v>
      </c>
    </row>
    <row r="7" spans="1:12" x14ac:dyDescent="0.45">
      <c r="A7" t="s">
        <v>17</v>
      </c>
      <c r="B7" t="s">
        <v>30</v>
      </c>
      <c r="C7" s="1">
        <v>44880</v>
      </c>
      <c r="D7">
        <v>2</v>
      </c>
      <c r="E7">
        <v>2</v>
      </c>
      <c r="F7">
        <v>6.8999999999999999E-3</v>
      </c>
      <c r="G7">
        <v>0</v>
      </c>
      <c r="H7" s="2">
        <v>1.3888888888888889E-4</v>
      </c>
      <c r="I7">
        <v>65</v>
      </c>
      <c r="J7">
        <v>3.08</v>
      </c>
      <c r="K7" t="s">
        <v>14</v>
      </c>
      <c r="L7">
        <v>802425</v>
      </c>
    </row>
    <row r="8" spans="1:12" x14ac:dyDescent="0.45">
      <c r="A8" t="s">
        <v>17</v>
      </c>
      <c r="B8" t="s">
        <v>38</v>
      </c>
      <c r="C8" s="1">
        <v>44798</v>
      </c>
      <c r="D8">
        <v>34</v>
      </c>
      <c r="E8">
        <v>32</v>
      </c>
      <c r="F8">
        <v>0.81979999999999997</v>
      </c>
      <c r="G8">
        <v>0</v>
      </c>
      <c r="H8" s="2">
        <v>9.9537037037037042E-4</v>
      </c>
      <c r="I8">
        <v>274</v>
      </c>
      <c r="J8">
        <v>10.95</v>
      </c>
      <c r="K8" t="s">
        <v>22</v>
      </c>
      <c r="L8">
        <v>3382530</v>
      </c>
    </row>
    <row r="9" spans="1:12" x14ac:dyDescent="0.45">
      <c r="A9" t="s">
        <v>17</v>
      </c>
      <c r="B9" t="s">
        <v>31</v>
      </c>
      <c r="C9" s="1">
        <v>44888</v>
      </c>
      <c r="D9">
        <v>4</v>
      </c>
      <c r="E9">
        <v>4</v>
      </c>
      <c r="F9">
        <v>0.38719999999999999</v>
      </c>
      <c r="G9">
        <v>0</v>
      </c>
      <c r="H9" s="2">
        <v>4.0277777777777777E-3</v>
      </c>
      <c r="I9">
        <v>64</v>
      </c>
      <c r="J9">
        <v>3.13</v>
      </c>
      <c r="K9" t="s">
        <v>29</v>
      </c>
      <c r="L9">
        <v>790080</v>
      </c>
    </row>
    <row r="10" spans="1:12" x14ac:dyDescent="0.45">
      <c r="A10" t="s">
        <v>17</v>
      </c>
      <c r="B10" t="s">
        <v>21</v>
      </c>
      <c r="C10" s="1">
        <v>44835</v>
      </c>
      <c r="D10">
        <v>1</v>
      </c>
      <c r="E10">
        <v>1</v>
      </c>
      <c r="F10">
        <v>0.106</v>
      </c>
      <c r="G10">
        <v>0</v>
      </c>
      <c r="H10" s="2">
        <v>4.409722222222222E-3</v>
      </c>
      <c r="I10">
        <v>66</v>
      </c>
      <c r="J10">
        <v>1.52</v>
      </c>
      <c r="K10" t="s">
        <v>22</v>
      </c>
      <c r="L10">
        <v>814770</v>
      </c>
    </row>
    <row r="11" spans="1:12" x14ac:dyDescent="0.45">
      <c r="A11" t="s">
        <v>12</v>
      </c>
      <c r="B11" t="s">
        <v>40</v>
      </c>
      <c r="C11" s="1">
        <v>45046</v>
      </c>
      <c r="D11">
        <v>14</v>
      </c>
      <c r="E11">
        <v>13</v>
      </c>
      <c r="F11">
        <v>0.22040000000000001</v>
      </c>
      <c r="G11">
        <v>0</v>
      </c>
      <c r="H11" s="2">
        <v>6.4814814814814813E-4</v>
      </c>
      <c r="I11">
        <v>306</v>
      </c>
      <c r="J11">
        <v>3.27</v>
      </c>
      <c r="K11" t="s">
        <v>29</v>
      </c>
      <c r="L11">
        <v>3777570</v>
      </c>
    </row>
    <row r="12" spans="1:12" x14ac:dyDescent="0.45">
      <c r="A12" t="s">
        <v>12</v>
      </c>
      <c r="B12" t="s">
        <v>32</v>
      </c>
      <c r="C12" s="1">
        <v>45053</v>
      </c>
      <c r="D12">
        <v>5</v>
      </c>
      <c r="E12">
        <v>5</v>
      </c>
      <c r="F12">
        <v>2.46E-2</v>
      </c>
      <c r="G12">
        <v>0</v>
      </c>
      <c r="H12" s="2">
        <v>1.9675925925925926E-4</v>
      </c>
      <c r="I12">
        <v>143</v>
      </c>
      <c r="J12">
        <v>0.7</v>
      </c>
      <c r="K12" t="s">
        <v>29</v>
      </c>
      <c r="L12">
        <v>1765335</v>
      </c>
    </row>
    <row r="13" spans="1:12" x14ac:dyDescent="0.45">
      <c r="A13" t="s">
        <v>12</v>
      </c>
      <c r="B13" t="s">
        <v>33</v>
      </c>
      <c r="C13" s="1">
        <v>45061</v>
      </c>
      <c r="D13">
        <v>6</v>
      </c>
      <c r="E13">
        <v>10</v>
      </c>
      <c r="F13">
        <v>0.22259999999999999</v>
      </c>
      <c r="G13">
        <v>1</v>
      </c>
      <c r="H13" s="2">
        <v>1.5393518518518519E-3</v>
      </c>
      <c r="I13">
        <v>196</v>
      </c>
      <c r="J13">
        <v>2.5499999999999998</v>
      </c>
      <c r="K13" t="s">
        <v>24</v>
      </c>
      <c r="L13">
        <v>2419620</v>
      </c>
    </row>
    <row r="14" spans="1:12" x14ac:dyDescent="0.45">
      <c r="A14" t="s">
        <v>12</v>
      </c>
      <c r="B14" t="s">
        <v>37</v>
      </c>
      <c r="C14" s="1">
        <v>45036</v>
      </c>
      <c r="D14">
        <v>4</v>
      </c>
      <c r="E14">
        <v>4</v>
      </c>
      <c r="F14">
        <v>2.35E-2</v>
      </c>
      <c r="G14">
        <v>0</v>
      </c>
      <c r="H14" s="2">
        <v>2.4305555555555555E-4</v>
      </c>
      <c r="I14">
        <v>130</v>
      </c>
      <c r="J14">
        <v>2.31</v>
      </c>
      <c r="K14" t="s">
        <v>24</v>
      </c>
      <c r="L14">
        <v>1604850</v>
      </c>
    </row>
    <row r="15" spans="1:12" x14ac:dyDescent="0.45">
      <c r="A15" t="s">
        <v>12</v>
      </c>
      <c r="B15" t="s">
        <v>34</v>
      </c>
      <c r="C15" s="1">
        <v>45067</v>
      </c>
      <c r="D15">
        <v>4</v>
      </c>
      <c r="E15">
        <v>5</v>
      </c>
      <c r="F15">
        <v>2.4500000000000001E-2</v>
      </c>
      <c r="G15">
        <v>0</v>
      </c>
      <c r="H15" s="2">
        <v>2.5462962962962961E-4</v>
      </c>
      <c r="I15">
        <v>166</v>
      </c>
      <c r="J15">
        <v>1.2</v>
      </c>
      <c r="K15" t="s">
        <v>24</v>
      </c>
      <c r="L15">
        <v>2049270</v>
      </c>
    </row>
    <row r="16" spans="1:12" x14ac:dyDescent="0.45">
      <c r="A16" t="s">
        <v>17</v>
      </c>
      <c r="B16" t="s">
        <v>35</v>
      </c>
      <c r="C16" s="1">
        <v>44662</v>
      </c>
      <c r="D16">
        <v>22</v>
      </c>
      <c r="E16">
        <v>21</v>
      </c>
      <c r="F16">
        <v>0.64349999999999996</v>
      </c>
      <c r="G16">
        <v>0</v>
      </c>
      <c r="H16" s="2">
        <v>1.2152777777777778E-3</v>
      </c>
      <c r="I16">
        <v>153</v>
      </c>
      <c r="J16">
        <v>9.15</v>
      </c>
      <c r="K16" t="s">
        <v>14</v>
      </c>
      <c r="L16">
        <v>1888785</v>
      </c>
    </row>
    <row r="17" spans="1:12" x14ac:dyDescent="0.45">
      <c r="A17" t="s">
        <v>17</v>
      </c>
      <c r="B17" t="s">
        <v>23</v>
      </c>
      <c r="C17" s="1">
        <v>44843</v>
      </c>
      <c r="D17">
        <v>82</v>
      </c>
      <c r="E17">
        <v>76</v>
      </c>
      <c r="F17">
        <v>2.242</v>
      </c>
      <c r="G17">
        <v>0</v>
      </c>
      <c r="H17" s="2">
        <v>1.1342592592592593E-3</v>
      </c>
      <c r="I17">
        <v>1106</v>
      </c>
      <c r="J17">
        <v>5.15</v>
      </c>
      <c r="K17" t="s">
        <v>24</v>
      </c>
      <c r="L17">
        <v>13653570</v>
      </c>
    </row>
    <row r="18" spans="1:12" x14ac:dyDescent="0.45">
      <c r="A18" t="s">
        <v>17</v>
      </c>
      <c r="B18" t="s">
        <v>36</v>
      </c>
      <c r="C18" s="1">
        <v>44788</v>
      </c>
      <c r="E18">
        <v>0</v>
      </c>
    </row>
    <row r="19" spans="1:12" x14ac:dyDescent="0.45">
      <c r="A19" t="s">
        <v>17</v>
      </c>
      <c r="B19" t="s">
        <v>25</v>
      </c>
      <c r="C19" s="1">
        <v>44850</v>
      </c>
      <c r="D19">
        <v>115</v>
      </c>
      <c r="E19">
        <v>107</v>
      </c>
      <c r="F19">
        <v>8.3785000000000007</v>
      </c>
      <c r="G19">
        <v>2</v>
      </c>
      <c r="H19" s="2">
        <v>3.0324074074074073E-3</v>
      </c>
      <c r="I19">
        <v>1013</v>
      </c>
      <c r="J19">
        <v>8.49</v>
      </c>
      <c r="K19" t="s">
        <v>22</v>
      </c>
      <c r="L19">
        <v>12505485</v>
      </c>
    </row>
    <row r="20" spans="1:12" x14ac:dyDescent="0.45">
      <c r="A20" t="s">
        <v>17</v>
      </c>
      <c r="B20" t="s">
        <v>25</v>
      </c>
      <c r="C20" s="1">
        <v>44850</v>
      </c>
      <c r="D20">
        <v>115</v>
      </c>
      <c r="E20">
        <v>107</v>
      </c>
      <c r="F20">
        <v>8.3785000000000007</v>
      </c>
      <c r="G20">
        <v>2</v>
      </c>
      <c r="H20" s="2">
        <v>3.0324074074074073E-3</v>
      </c>
      <c r="I20">
        <v>1013</v>
      </c>
      <c r="J20">
        <v>8.49</v>
      </c>
      <c r="K20" t="s">
        <v>22</v>
      </c>
      <c r="L20">
        <v>12505485</v>
      </c>
    </row>
    <row r="21" spans="1:12" x14ac:dyDescent="0.45">
      <c r="A21" t="s">
        <v>17</v>
      </c>
      <c r="B21" t="s">
        <v>42</v>
      </c>
      <c r="C21" s="1">
        <v>44853</v>
      </c>
      <c r="D21">
        <v>123</v>
      </c>
      <c r="E21">
        <v>107</v>
      </c>
      <c r="F21">
        <v>8.3785000000000007</v>
      </c>
      <c r="G21">
        <v>2</v>
      </c>
      <c r="H21" s="2">
        <v>3.0324074074074073E-3</v>
      </c>
      <c r="I21">
        <v>1013</v>
      </c>
      <c r="J21">
        <v>8.49</v>
      </c>
      <c r="K21" t="s">
        <v>22</v>
      </c>
      <c r="L21">
        <v>12505485</v>
      </c>
    </row>
    <row r="22" spans="1:12" x14ac:dyDescent="0.45">
      <c r="A22" t="s">
        <v>17</v>
      </c>
      <c r="B22" t="s">
        <v>26</v>
      </c>
      <c r="C22" s="1">
        <v>44859</v>
      </c>
      <c r="D22">
        <v>60</v>
      </c>
      <c r="E22">
        <v>56</v>
      </c>
      <c r="F22">
        <v>5.9630000000000001</v>
      </c>
      <c r="G22">
        <v>0</v>
      </c>
      <c r="H22" s="2">
        <v>4.1319444444444442E-3</v>
      </c>
      <c r="I22">
        <v>665</v>
      </c>
      <c r="J22">
        <v>5.26</v>
      </c>
      <c r="K22" t="s">
        <v>24</v>
      </c>
      <c r="L22">
        <v>8209425</v>
      </c>
    </row>
    <row r="23" spans="1:12" x14ac:dyDescent="0.45">
      <c r="A23" t="s">
        <v>17</v>
      </c>
      <c r="B23" t="s">
        <v>43</v>
      </c>
      <c r="C23" s="1">
        <v>44859</v>
      </c>
      <c r="D23">
        <v>60</v>
      </c>
      <c r="E23">
        <v>87</v>
      </c>
      <c r="F23">
        <v>5.9630000000000001</v>
      </c>
      <c r="G23">
        <v>0</v>
      </c>
      <c r="H23" s="2">
        <v>4.1319444444444442E-3</v>
      </c>
      <c r="I23">
        <v>665</v>
      </c>
      <c r="J23">
        <v>5.26</v>
      </c>
      <c r="K23" t="s">
        <v>14</v>
      </c>
      <c r="L23">
        <v>8209425</v>
      </c>
    </row>
    <row r="24" spans="1:12" x14ac:dyDescent="0.45">
      <c r="A24" t="s">
        <v>17</v>
      </c>
      <c r="B24" t="s">
        <v>27</v>
      </c>
      <c r="C24" s="1">
        <v>44866</v>
      </c>
      <c r="D24">
        <v>30</v>
      </c>
      <c r="E24">
        <v>28</v>
      </c>
      <c r="F24">
        <v>2.3978000000000002</v>
      </c>
      <c r="G24">
        <v>0</v>
      </c>
      <c r="H24" s="2">
        <v>3.3217592592592591E-3</v>
      </c>
      <c r="I24">
        <v>247</v>
      </c>
      <c r="J24">
        <v>5.67</v>
      </c>
      <c r="K24" t="s">
        <v>22</v>
      </c>
      <c r="L24">
        <v>3049215</v>
      </c>
    </row>
    <row r="25" spans="1:12" x14ac:dyDescent="0.45">
      <c r="A25" t="s">
        <v>17</v>
      </c>
      <c r="B25" t="s">
        <v>27</v>
      </c>
      <c r="C25" s="1" t="s">
        <v>44</v>
      </c>
      <c r="D25">
        <v>35</v>
      </c>
      <c r="E25">
        <v>28</v>
      </c>
      <c r="F25">
        <v>2.3978000000000002</v>
      </c>
      <c r="G25">
        <v>0</v>
      </c>
      <c r="H25" s="2">
        <v>3.3217592592592591E-3</v>
      </c>
      <c r="I25">
        <v>247</v>
      </c>
      <c r="J25">
        <v>5.67</v>
      </c>
      <c r="K25" t="s">
        <v>29</v>
      </c>
      <c r="L25">
        <v>3049215</v>
      </c>
    </row>
    <row r="26" spans="1:12" x14ac:dyDescent="0.45">
      <c r="A26" t="s">
        <v>17</v>
      </c>
      <c r="B26" t="s">
        <v>28</v>
      </c>
      <c r="C26" s="1">
        <v>44873</v>
      </c>
      <c r="D26">
        <v>170</v>
      </c>
      <c r="E26">
        <v>157</v>
      </c>
      <c r="F26">
        <v>5.8646000000000003</v>
      </c>
      <c r="G26">
        <v>0</v>
      </c>
      <c r="H26" s="2">
        <v>1.4351851851851852E-3</v>
      </c>
      <c r="I26">
        <v>1740</v>
      </c>
      <c r="J26">
        <v>7.59</v>
      </c>
      <c r="K26" t="s">
        <v>29</v>
      </c>
      <c r="L26">
        <v>21480300</v>
      </c>
    </row>
    <row r="27" spans="1:12" x14ac:dyDescent="0.45">
      <c r="A27" t="s">
        <v>12</v>
      </c>
      <c r="B27" t="s">
        <v>13</v>
      </c>
      <c r="C27" s="1">
        <v>44761</v>
      </c>
      <c r="D27">
        <v>1</v>
      </c>
      <c r="E27">
        <v>1</v>
      </c>
      <c r="F27">
        <v>3.8999999999999998E-3</v>
      </c>
      <c r="G27">
        <v>0</v>
      </c>
      <c r="H27" s="2">
        <v>1.5046296296296297E-4</v>
      </c>
      <c r="I27">
        <v>54</v>
      </c>
      <c r="J27">
        <v>1.85</v>
      </c>
      <c r="K27" t="s">
        <v>14</v>
      </c>
      <c r="L27">
        <v>666630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EXP</vt:lpstr>
      <vt:lpstr>Gráficos y gráficas</vt:lpstr>
      <vt:lpstr>YouTube_Channel_DataSet</vt:lpstr>
      <vt:lpstr>Data_RawYouTu_be_Channel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[Est - LIF] De La Cruz Ventura, Mirianny</dc:creator>
  <cp:lastModifiedBy>[Est - LIF] De La Cruz Ventura, Mirianny</cp:lastModifiedBy>
  <dcterms:created xsi:type="dcterms:W3CDTF">2026-01-12T05:55:08Z</dcterms:created>
  <dcterms:modified xsi:type="dcterms:W3CDTF">2026-05-27T00:16:10Z</dcterms:modified>
</cp:coreProperties>
</file>